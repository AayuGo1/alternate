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handra.prakash5\Downloads\"/>
    </mc:Choice>
  </mc:AlternateContent>
  <bookViews>
    <workbookView xWindow="0" yWindow="0" windowWidth="23040" windowHeight="9072" activeTab="1"/>
  </bookViews>
  <sheets>
    <sheet name="H&amp;S" sheetId="1" r:id="rId1"/>
    <sheet name="Environment" sheetId="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4" l="1"/>
  <c r="H11" i="1"/>
  <c r="H22" i="1"/>
  <c r="P34" i="1"/>
  <c r="O11" i="1" l="1"/>
  <c r="P21" i="1"/>
  <c r="Q4" i="4" l="1"/>
  <c r="Q5" i="4"/>
  <c r="Q6" i="4"/>
  <c r="S6" i="4" s="1"/>
  <c r="U6" i="4" s="1"/>
  <c r="Q7" i="4"/>
  <c r="Q8" i="4"/>
  <c r="Q9" i="4"/>
  <c r="Q10" i="4"/>
  <c r="Q13" i="4"/>
  <c r="Q14" i="4"/>
  <c r="Q15" i="4"/>
  <c r="Q16" i="4"/>
  <c r="Q17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" i="4"/>
  <c r="P4" i="1"/>
  <c r="Q4" i="1" s="1"/>
  <c r="P5" i="1"/>
  <c r="Q5" i="1" s="1"/>
  <c r="P6" i="1"/>
  <c r="Q6" i="1" s="1"/>
  <c r="P7" i="1"/>
  <c r="Q7" i="1" s="1"/>
  <c r="P8" i="1"/>
  <c r="P9" i="1"/>
  <c r="P10" i="1"/>
  <c r="P12" i="1"/>
  <c r="P13" i="1"/>
  <c r="P14" i="1"/>
  <c r="P15" i="1"/>
  <c r="P16" i="1"/>
  <c r="P17" i="1"/>
  <c r="R17" i="1" s="1"/>
  <c r="P19" i="1"/>
  <c r="P20" i="1"/>
  <c r="P23" i="1"/>
  <c r="P24" i="1"/>
  <c r="P25" i="1"/>
  <c r="P3" i="1"/>
  <c r="Q3" i="1" s="1"/>
  <c r="E38" i="4" l="1"/>
  <c r="E19" i="4"/>
  <c r="D18" i="1"/>
  <c r="F11" i="4" l="1"/>
  <c r="G11" i="4"/>
  <c r="G12" i="4" s="1"/>
  <c r="H11" i="4"/>
  <c r="H12" i="4" s="1"/>
  <c r="I11" i="4"/>
  <c r="I12" i="4" s="1"/>
  <c r="J11" i="4"/>
  <c r="J12" i="4" s="1"/>
  <c r="K11" i="4"/>
  <c r="K12" i="4" s="1"/>
  <c r="L11" i="4"/>
  <c r="L12" i="4" s="1"/>
  <c r="M11" i="4"/>
  <c r="N11" i="4"/>
  <c r="N12" i="4" s="1"/>
  <c r="O11" i="4"/>
  <c r="O12" i="4" s="1"/>
  <c r="P11" i="4"/>
  <c r="P12" i="4" s="1"/>
  <c r="F12" i="4"/>
  <c r="F18" i="4"/>
  <c r="F21" i="4" s="1"/>
  <c r="G18" i="4"/>
  <c r="G21" i="4" s="1"/>
  <c r="H18" i="4"/>
  <c r="H21" i="4" s="1"/>
  <c r="I18" i="4"/>
  <c r="I21" i="4" s="1"/>
  <c r="J18" i="4"/>
  <c r="K18" i="4"/>
  <c r="K21" i="4" s="1"/>
  <c r="L18" i="4"/>
  <c r="L21" i="4" s="1"/>
  <c r="M18" i="4"/>
  <c r="M21" i="4" s="1"/>
  <c r="N18" i="4"/>
  <c r="N21" i="4" s="1"/>
  <c r="O18" i="4"/>
  <c r="P18" i="4"/>
  <c r="P21" i="4" s="1"/>
  <c r="F19" i="4"/>
  <c r="F20" i="4" s="1"/>
  <c r="G19" i="4"/>
  <c r="G20" i="4" s="1"/>
  <c r="H19" i="4"/>
  <c r="H20" i="4" s="1"/>
  <c r="I19" i="4"/>
  <c r="I20" i="4" s="1"/>
  <c r="J19" i="4"/>
  <c r="J20" i="4" s="1"/>
  <c r="K19" i="4"/>
  <c r="K20" i="4" s="1"/>
  <c r="L19" i="4"/>
  <c r="L20" i="4" s="1"/>
  <c r="M19" i="4"/>
  <c r="M20" i="4" s="1"/>
  <c r="N19" i="4"/>
  <c r="N20" i="4" s="1"/>
  <c r="O19" i="4"/>
  <c r="P19" i="4"/>
  <c r="P20" i="4" s="1"/>
  <c r="J21" i="4"/>
  <c r="F38" i="4"/>
  <c r="G38" i="4"/>
  <c r="H38" i="4"/>
  <c r="I38" i="4"/>
  <c r="J38" i="4"/>
  <c r="K38" i="4"/>
  <c r="L38" i="4"/>
  <c r="M38" i="4"/>
  <c r="N38" i="4"/>
  <c r="O38" i="4"/>
  <c r="P38" i="4"/>
  <c r="F39" i="4"/>
  <c r="F40" i="4" s="1"/>
  <c r="G39" i="4"/>
  <c r="G40" i="4" s="1"/>
  <c r="H39" i="4"/>
  <c r="H40" i="4" s="1"/>
  <c r="I39" i="4"/>
  <c r="I40" i="4" s="1"/>
  <c r="J39" i="4"/>
  <c r="J40" i="4" s="1"/>
  <c r="K39" i="4"/>
  <c r="K40" i="4" s="1"/>
  <c r="L39" i="4"/>
  <c r="L40" i="4" s="1"/>
  <c r="M39" i="4"/>
  <c r="N39" i="4"/>
  <c r="N40" i="4" s="1"/>
  <c r="O39" i="4"/>
  <c r="O40" i="4" s="1"/>
  <c r="P39" i="4"/>
  <c r="P40" i="4" s="1"/>
  <c r="E11" i="1"/>
  <c r="E31" i="1" s="1"/>
  <c r="F11" i="1"/>
  <c r="F30" i="1" s="1"/>
  <c r="G11" i="1"/>
  <c r="G31" i="1" s="1"/>
  <c r="H31" i="1"/>
  <c r="I11" i="1"/>
  <c r="J11" i="1"/>
  <c r="J30" i="1" s="1"/>
  <c r="K11" i="1"/>
  <c r="K31" i="1" s="1"/>
  <c r="L11" i="1"/>
  <c r="L30" i="1" s="1"/>
  <c r="M11" i="1"/>
  <c r="M31" i="1" s="1"/>
  <c r="N11" i="1"/>
  <c r="N31" i="1" s="1"/>
  <c r="O31" i="1"/>
  <c r="E18" i="1"/>
  <c r="F18" i="1"/>
  <c r="F37" i="1" s="1"/>
  <c r="G18" i="1"/>
  <c r="G37" i="1" s="1"/>
  <c r="H18" i="1"/>
  <c r="H37" i="1" s="1"/>
  <c r="I18" i="1"/>
  <c r="I37" i="1" s="1"/>
  <c r="J18" i="1"/>
  <c r="J37" i="1" s="1"/>
  <c r="K18" i="1"/>
  <c r="K37" i="1" s="1"/>
  <c r="L18" i="1"/>
  <c r="L37" i="1" s="1"/>
  <c r="M18" i="1"/>
  <c r="M37" i="1" s="1"/>
  <c r="N18" i="1"/>
  <c r="N37" i="1" s="1"/>
  <c r="O18" i="1"/>
  <c r="O37" i="1" s="1"/>
  <c r="E22" i="1"/>
  <c r="E27" i="1" s="1"/>
  <c r="F22" i="1"/>
  <c r="G22" i="1"/>
  <c r="G28" i="1" s="1"/>
  <c r="H26" i="1"/>
  <c r="I22" i="1"/>
  <c r="I27" i="1" s="1"/>
  <c r="J22" i="1"/>
  <c r="J28" i="1" s="1"/>
  <c r="K22" i="1"/>
  <c r="K28" i="1" s="1"/>
  <c r="L22" i="1"/>
  <c r="L28" i="1" s="1"/>
  <c r="M22" i="1"/>
  <c r="M28" i="1" s="1"/>
  <c r="N22" i="1"/>
  <c r="N27" i="1" s="1"/>
  <c r="O22" i="1"/>
  <c r="O27" i="1" s="1"/>
  <c r="H27" i="1"/>
  <c r="H28" i="1"/>
  <c r="E29" i="1"/>
  <c r="F29" i="1"/>
  <c r="G29" i="1"/>
  <c r="H29" i="1"/>
  <c r="I29" i="1"/>
  <c r="J29" i="1"/>
  <c r="K29" i="1"/>
  <c r="L29" i="1"/>
  <c r="M29" i="1"/>
  <c r="N29" i="1"/>
  <c r="O29" i="1"/>
  <c r="H30" i="1"/>
  <c r="I30" i="1"/>
  <c r="I31" i="1"/>
  <c r="J31" i="1"/>
  <c r="E32" i="1"/>
  <c r="F32" i="1"/>
  <c r="G32" i="1"/>
  <c r="H32" i="1"/>
  <c r="I32" i="1"/>
  <c r="J32" i="1"/>
  <c r="K32" i="1"/>
  <c r="L32" i="1"/>
  <c r="M32" i="1"/>
  <c r="N32" i="1"/>
  <c r="O32" i="1"/>
  <c r="E33" i="1"/>
  <c r="F33" i="1"/>
  <c r="G33" i="1"/>
  <c r="H33" i="1"/>
  <c r="I33" i="1"/>
  <c r="J33" i="1"/>
  <c r="K33" i="1"/>
  <c r="L33" i="1"/>
  <c r="M33" i="1"/>
  <c r="N33" i="1"/>
  <c r="O33" i="1"/>
  <c r="K34" i="1"/>
  <c r="L34" i="1"/>
  <c r="M34" i="1"/>
  <c r="E35" i="1"/>
  <c r="F35" i="1"/>
  <c r="G35" i="1"/>
  <c r="H35" i="1"/>
  <c r="I35" i="1"/>
  <c r="J35" i="1"/>
  <c r="K35" i="1"/>
  <c r="L35" i="1"/>
  <c r="M35" i="1"/>
  <c r="N35" i="1"/>
  <c r="O35" i="1"/>
  <c r="E36" i="1"/>
  <c r="F36" i="1"/>
  <c r="G36" i="1"/>
  <c r="H36" i="1"/>
  <c r="I36" i="1"/>
  <c r="J36" i="1"/>
  <c r="K36" i="1"/>
  <c r="L36" i="1"/>
  <c r="M36" i="1"/>
  <c r="N36" i="1"/>
  <c r="O36" i="1"/>
  <c r="O34" i="1" l="1"/>
  <c r="N34" i="1"/>
  <c r="Q38" i="4"/>
  <c r="O21" i="4"/>
  <c r="O20" i="4"/>
  <c r="Q19" i="4"/>
  <c r="Q20" i="4" s="1"/>
  <c r="M40" i="4"/>
  <c r="M12" i="4"/>
  <c r="G30" i="1"/>
  <c r="P18" i="1"/>
  <c r="E30" i="1"/>
  <c r="L31" i="1"/>
  <c r="G34" i="1"/>
  <c r="F34" i="1"/>
  <c r="F31" i="1"/>
  <c r="G27" i="1"/>
  <c r="G26" i="1"/>
  <c r="J34" i="1"/>
  <c r="I34" i="1"/>
  <c r="I28" i="1"/>
  <c r="K30" i="1"/>
  <c r="H34" i="1"/>
  <c r="E34" i="1"/>
  <c r="E37" i="1"/>
  <c r="F26" i="1"/>
  <c r="F27" i="1"/>
  <c r="F28" i="1"/>
  <c r="E28" i="1"/>
  <c r="N26" i="1"/>
  <c r="O28" i="1"/>
  <c r="M26" i="1"/>
  <c r="N28" i="1"/>
  <c r="L26" i="1"/>
  <c r="L27" i="1"/>
  <c r="E26" i="1"/>
  <c r="O26" i="1"/>
  <c r="M27" i="1"/>
  <c r="O30" i="1"/>
  <c r="K26" i="1"/>
  <c r="N30" i="1"/>
  <c r="K27" i="1"/>
  <c r="J26" i="1"/>
  <c r="M30" i="1"/>
  <c r="J27" i="1"/>
  <c r="I26" i="1"/>
  <c r="E39" i="4"/>
  <c r="Q39" i="4" s="1"/>
  <c r="E20" i="4"/>
  <c r="E18" i="4"/>
  <c r="E21" i="4" l="1"/>
  <c r="Q18" i="4"/>
  <c r="Q21" i="4" s="1"/>
  <c r="E40" i="4"/>
  <c r="Q40" i="4" s="1"/>
  <c r="E11" i="4"/>
  <c r="E12" i="4" s="1"/>
  <c r="D36" i="1" l="1"/>
  <c r="P36" i="1" s="1"/>
  <c r="D35" i="1"/>
  <c r="P35" i="1" s="1"/>
  <c r="D22" i="1"/>
  <c r="D37" i="1"/>
  <c r="P37" i="1" s="1"/>
  <c r="D11" i="1"/>
  <c r="D33" i="1"/>
  <c r="P33" i="1" s="1"/>
  <c r="D32" i="1"/>
  <c r="P32" i="1" s="1"/>
  <c r="D29" i="1"/>
  <c r="P29" i="1" s="1"/>
  <c r="D26" i="1" l="1"/>
  <c r="P26" i="1" s="1"/>
  <c r="P22" i="1"/>
  <c r="D30" i="1"/>
  <c r="P30" i="1" s="1"/>
  <c r="P11" i="1"/>
  <c r="D34" i="1"/>
  <c r="D28" i="1"/>
  <c r="P28" i="1" s="1"/>
  <c r="D27" i="1"/>
  <c r="P27" i="1" s="1"/>
  <c r="D31" i="1"/>
  <c r="P31" i="1" s="1"/>
</calcChain>
</file>

<file path=xl/sharedStrings.xml><?xml version="1.0" encoding="utf-8"?>
<sst xmlns="http://schemas.openxmlformats.org/spreadsheetml/2006/main" count="115" uniqueCount="111">
  <si>
    <t>HEALTH &amp; SAFETY MONTHLY KPI - 2025-2026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</si>
  <si>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</si>
  <si>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</si>
  <si>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</si>
  <si>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</si>
  <si>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</si>
  <si>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</si>
  <si>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</si>
  <si>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</si>
  <si>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</si>
  <si>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</si>
  <si>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</si>
  <si>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</si>
  <si>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YTD</t>
  </si>
  <si>
    <t>BU</t>
  </si>
  <si>
    <t>Lagging Indicators</t>
  </si>
  <si>
    <t>Fatalities</t>
  </si>
  <si>
    <t>Fatalities (non-work related)</t>
  </si>
  <si>
    <t>Lost Time Injury</t>
  </si>
  <si>
    <t>Restricted work case (RWC)</t>
  </si>
  <si>
    <t>Offsite Medical Treatment (Treatment Beyond First Aid)</t>
  </si>
  <si>
    <t>First Aid Accident</t>
  </si>
  <si>
    <t>Significant Near Miss</t>
  </si>
  <si>
    <t>NA</t>
  </si>
  <si>
    <t>Leading Indicators</t>
  </si>
  <si>
    <t>Near miss</t>
  </si>
  <si>
    <t>UA/UC Obsevations - Total number</t>
  </si>
  <si>
    <t>Unsafe Conditions - Total number</t>
  </si>
  <si>
    <t>Unsafe Act - Total Number</t>
  </si>
  <si>
    <t>UA/UC - Number of different people who completed an observation</t>
  </si>
  <si>
    <t>UA/UC - Number of people who are required to submit an observation</t>
  </si>
  <si>
    <t>Total UA/UC Targeted to Close for the month</t>
  </si>
  <si>
    <t>Total UA/UC actually Closed for the month</t>
  </si>
  <si>
    <t>Safety hours trained</t>
  </si>
  <si>
    <t>Safety hours trained - Permanent Employee</t>
  </si>
  <si>
    <t>Safety hours trained - Contractors</t>
  </si>
  <si>
    <t>Normalized Metrics</t>
  </si>
  <si>
    <t>Number of workers - HR</t>
  </si>
  <si>
    <t>Employee hours worked - HR</t>
  </si>
  <si>
    <t>Employee hours worked - Permanent Employee (HR)</t>
  </si>
  <si>
    <t>Employee hours worked - Contractors (HR)</t>
  </si>
  <si>
    <t>Employee days lost due to a LTI</t>
  </si>
  <si>
    <t xml:space="preserve">Health &amp; Safety KPIs </t>
  </si>
  <si>
    <t>Lost Time Injury frequency rate</t>
  </si>
  <si>
    <t>Total recordable frequency rate</t>
  </si>
  <si>
    <t>Near Miss Frequency Rate</t>
  </si>
  <si>
    <t>Safety observation worker involvement % [%]</t>
  </si>
  <si>
    <t>% Behaviour related observations of total UA/UC reported [%]</t>
  </si>
  <si>
    <t>% Condition related observations of total UA/UC reported [%]</t>
  </si>
  <si>
    <t>% of UA/UC Closure</t>
  </si>
  <si>
    <t>Total recordable accidents</t>
  </si>
  <si>
    <t>% Safety Hours Trained Per Man Hours Worked [%]</t>
  </si>
  <si>
    <t>% Safety Hours Trained Per Man Hours Worked - Permanent Employee [%]</t>
  </si>
  <si>
    <t>% Safety Hours Trained Per Man Hours Worked - Contractors [%]</t>
  </si>
  <si>
    <t>Safety Hours Trained Per Employee</t>
  </si>
  <si>
    <t>ENVIRONMENT MONTHLY KPI 2025-2026</t>
  </si>
  <si>
    <t>Target</t>
  </si>
  <si>
    <t>Production</t>
  </si>
  <si>
    <t>Production Volume - Gross Weight [Gross Weight (t Metric)]</t>
  </si>
  <si>
    <t>Energy</t>
  </si>
  <si>
    <t>Direct energy usage</t>
  </si>
  <si>
    <t>Diesel Usage [L]</t>
  </si>
  <si>
    <t>LPG Usage [KG]</t>
  </si>
  <si>
    <t>PNG Usage [SCM] - Standard Cubin Meter</t>
  </si>
  <si>
    <t>KG LPG</t>
  </si>
  <si>
    <t>Tonne</t>
  </si>
  <si>
    <t>Indirect energy usage</t>
  </si>
  <si>
    <t>Energy from purchased grid electricity [kWh]</t>
  </si>
  <si>
    <t>Energy from purchased renewable electricity with certificates [kWh]</t>
  </si>
  <si>
    <t>Energy from purchased renewable electricity via PPA [kWh]</t>
  </si>
  <si>
    <t>Energy from renewable electricity generated and used on-site [kWh]</t>
  </si>
  <si>
    <t>Energy KPIs</t>
  </si>
  <si>
    <t>Total energy consumption [kWh]</t>
  </si>
  <si>
    <t xml:space="preserve">Energy per Tonnage KPI's </t>
  </si>
  <si>
    <t>Total energy consumption [kWh/Gross Weight (t Metric)]</t>
  </si>
  <si>
    <t>Water</t>
  </si>
  <si>
    <t>Water consumption</t>
  </si>
  <si>
    <t>Water from public / municipal supply [m³]</t>
  </si>
  <si>
    <t>Ground water abstracted from wells [m³]</t>
  </si>
  <si>
    <t>Water from surface water (rivers, lakes, lagoons) [m³]</t>
  </si>
  <si>
    <t>Water used from 'other' sources [m³] (Water Tankers)</t>
  </si>
  <si>
    <t>Water re-used / re-cycled [m³]</t>
  </si>
  <si>
    <t xml:space="preserve">Water consumption KPIs </t>
  </si>
  <si>
    <t>Total water withdrawal [m³]</t>
  </si>
  <si>
    <t>Gross water consumption [m³]</t>
  </si>
  <si>
    <t>% water re-used / recycled [%]</t>
  </si>
  <si>
    <t>Total water withdrawal  [m³/Gross Weight (t Metric)]</t>
  </si>
  <si>
    <t>Water discharge</t>
  </si>
  <si>
    <t>Wastewater discharged to municipal or third party treatment via sewer (treated on site) [m³]</t>
  </si>
  <si>
    <t>Wastewater discharged to municipal or third party treatment via sewer (untreated) [m³]</t>
  </si>
  <si>
    <t>Wastewater discharged directly to surface water (treated) [m³]</t>
  </si>
  <si>
    <t>Wastewater discharged directly to surface water (untreated) [m³]</t>
  </si>
  <si>
    <t>Wastewater Tankered off site (treated on site) [m³]</t>
  </si>
  <si>
    <t>Wastewater Tankered off site (not treated on site) [m³]</t>
  </si>
  <si>
    <t>Waste</t>
  </si>
  <si>
    <t>Non-hazardous waste</t>
  </si>
  <si>
    <t>Non-hazardous waste recycled [kg]</t>
  </si>
  <si>
    <t>Non-hazardous waste reused [kg]</t>
  </si>
  <si>
    <t>Non-hazardous waste sent to landfill [kg]</t>
  </si>
  <si>
    <t>Non-hazardous waste sent for incineration  [kg]</t>
  </si>
  <si>
    <t>Non-hazardous waste composting [kg]</t>
  </si>
  <si>
    <t>Hazardous waste</t>
  </si>
  <si>
    <t>Hazardous waste recycled [kg]</t>
  </si>
  <si>
    <t>Hazardous waste reused [kg]</t>
  </si>
  <si>
    <t>Hazardous waste sent to landfill [kg]</t>
  </si>
  <si>
    <t>Hazardous waste sent for incineration [kg] - Cotton Waste, Oil Soaked Cotton, Oily Gloves, Oily Sludge</t>
  </si>
  <si>
    <t>Biomedical waste sent for incineration [kg]</t>
  </si>
  <si>
    <t>Waste KPIs</t>
  </si>
  <si>
    <t>Total waste [t (metric)]</t>
  </si>
  <si>
    <t>Total waste [kg]</t>
  </si>
  <si>
    <t>Total waste per t(Metrics) [kg/Gross Weight (t Metric)]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</si>
</sst>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Verdana"/>
      <family val="2"/>
    </font>
    <font>
      <sz val="8"/>
      <color theme="1"/>
      <name val="Verdana"/>
      <family val="2"/>
    </font>
    <font>
      <sz val="11"/>
      <color theme="1"/>
      <name val="Calibri"/>
      <family val="2"/>
      <scheme val="minor"/>
    </font>
    <font>
      <b/>
      <sz val="8"/>
      <color theme="0"/>
      <name val="Verdana"/>
      <family val="2"/>
    </font>
    <font>
      <b/>
      <sz val="11"/>
      <color theme="0"/>
      <name val="Verdana"/>
      <family val="2"/>
    </font>
    <font>
      <sz val="9"/>
      <color theme="1"/>
      <name val="Calibri"/>
      <family val="2"/>
      <scheme val="minor"/>
    </font>
    <font>
      <b/>
      <sz val="9"/>
      <color theme="1"/>
      <name val="Verdana"/>
      <family val="2"/>
    </font>
    <font>
      <b/>
      <sz val="9"/>
      <color theme="0"/>
      <name val="Verdana"/>
      <family val="2"/>
    </font>
    <font>
      <b/>
      <sz val="10"/>
      <name val="Verdana"/>
      <family val="2"/>
    </font>
    <font>
      <sz val="10"/>
      <color theme="1"/>
      <name val="Verdana"/>
      <family val="2"/>
    </font>
    <font>
      <b/>
      <sz val="8"/>
      <color theme="1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2" fontId="2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8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9" fontId="2" fillId="0" borderId="0" xfId="1" applyFont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10" fontId="7" fillId="7" borderId="1" xfId="1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center" indent="2"/>
    </xf>
    <xf numFmtId="9" fontId="7" fillId="0" borderId="1" xfId="0" applyNumberFormat="1" applyFont="1" applyBorder="1" applyAlignment="1">
      <alignment horizontal="center" vertical="center"/>
    </xf>
    <xf numFmtId="9" fontId="7" fillId="8" borderId="1" xfId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1" fillId="0" borderId="0" xfId="1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Lagging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'H&amp;S'!$C$3</c:f>
              <c:strCache>
                <c:ptCount val="1"/>
                <c:pt idx="0">
                  <c:v>Fatalities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'H&amp;S'!$D$3:$P$3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E-4597-87AC-4D5099A720D4}"/>
            </c:ext>
          </c:extLst>
        </c:ser>
        <c:ser>
          <c:idx val="1"/>
          <c:order val="1"/>
          <c:tx>
            <c:strRef>
              <c:f>'H&amp;S'!$C$4</c:f>
              <c:strCache>
                <c:ptCount val="1"/>
                <c:pt idx="0">
                  <c:v>Fatalities (non-work related)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'H&amp;S'!$D$4:$P$4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2E-4597-87AC-4D5099A720D4}"/>
            </c:ext>
          </c:extLst>
        </c:ser>
        <c:ser>
          <c:idx val="2"/>
          <c:order val="2"/>
          <c:tx>
            <c:strRef>
              <c:f>'H&amp;S'!$C$5</c:f>
              <c:strCache>
                <c:ptCount val="1"/>
                <c:pt idx="0">
                  <c:v>Lost Time Injury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'H&amp;S'!$D$5:$P$5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2E-4597-87AC-4D5099A720D4}"/>
            </c:ext>
          </c:extLst>
        </c:ser>
        <c:ser>
          <c:idx val="3"/>
          <c:order val="3"/>
          <c:tx>
            <c:strRef>
              <c:f>'H&amp;S'!$C$6</c:f>
              <c:strCache>
                <c:ptCount val="1"/>
                <c:pt idx="0">
                  <c:v>Restricted work case (RWC)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'H&amp;S'!$D$6:$P$6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E2E-4597-87AC-4D5099A720D4}"/>
            </c:ext>
          </c:extLst>
        </c:ser>
        <c:ser>
          <c:idx val="4"/>
          <c:order val="4"/>
          <c:tx>
            <c:strRef>
              <c:f>'H&amp;S'!$C$7</c:f>
              <c:strCache>
                <c:ptCount val="1"/>
                <c:pt idx="0">
                  <c:v>Offsite Medical Treatment (Treatment Beyond First Aid)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'H&amp;S'!$D$7:$P$7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2E-4597-87AC-4D5099A720D4}"/>
            </c:ext>
          </c:extLst>
        </c:ser>
        <c:ser>
          <c:idx val="5"/>
          <c:order val="5"/>
          <c:tx>
            <c:strRef>
              <c:f>'H&amp;S'!$C$8</c:f>
              <c:strCache>
                <c:ptCount val="1"/>
                <c:pt idx="0">
                  <c:v>First Aid Accident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'H&amp;S'!$D$8:$P$8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E2E-4597-87AC-4D5099A720D4}"/>
            </c:ext>
          </c:extLst>
        </c:ser>
        <c:ser>
          <c:idx val="6"/>
          <c:order val="6"/>
          <c:tx>
            <c:strRef>
              <c:f>'H&amp;S'!$C$9</c:f>
              <c:strCache>
                <c:ptCount val="1"/>
                <c:pt idx="0">
                  <c:v>Significant Near Miss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'H&amp;S'!$D$9:$P$9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E2E-4597-87AC-4D5099A72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Leading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'H&amp;S'!$C$10</c:f>
              <c:strCache>
                <c:ptCount val="1"/>
                <c:pt idx="0">
                  <c:v>Near miss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'H&amp;S'!$D$10:$P$10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1-497D-8CAE-24576A19FC20}"/>
            </c:ext>
          </c:extLst>
        </c:ser>
        <c:ser>
          <c:idx val="1"/>
          <c:order val="1"/>
          <c:tx>
            <c:strRef>
              <c:f>'H&amp;S'!$C$11</c:f>
              <c:strCache>
                <c:ptCount val="1"/>
                <c:pt idx="0">
                  <c:v>UA/UC Obsevations - Total number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'H&amp;S'!$D$11:$P$11</c:f>
              <c:numCache>
                <c:formatCode>General</c:formatCode>
                <c:ptCount val="13"/>
                <c:pt idx="0">
                  <c:v>202</c:v>
                </c:pt>
                <c:pt idx="1">
                  <c:v>401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D61-497D-8CAE-24576A19F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Leading Indicators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'H&amp;S'!$C$10</c:f>
              <c:strCache>
                <c:ptCount val="1"/>
                <c:pt idx="0">
                  <c:v>Near miss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'H&amp;S'!$D$2:$P$2</c:f>
              <c:strCache>
                <c:ptCount val="13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</c:v>
                </c:pt>
                <c:pt idx="12">
                  <c:v>YTD</c:v>
                </c:pt>
              </c:strCache>
            </c:strRef>
          </c:cat>
          <c:val>
            <c:numRef>
              <c:f>'H&amp;S'!$D$10:$P$10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AD-43CC-B370-37B14CCD6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UA/UC Reporting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'H&amp;S'!$C$11</c:f>
              <c:strCache>
                <c:ptCount val="1"/>
                <c:pt idx="0">
                  <c:v>UA/UC Obsevations - Total number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775-40C1-ABB5-7706DD25602B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775-40C1-ABB5-7706DD25602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775-40C1-ABB5-7706DD25602B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775-40C1-ABB5-7706DD25602B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E775-40C1-ABB5-7706DD25602B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775-40C1-ABB5-7706DD2560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'H&amp;S'!$D$2:$M$2</c:f>
              <c:strCache>
                <c:ptCount val="10"/>
                <c:pt idx="0">
                  <c:v>Apr</c:v>
                </c:pt>
                <c:pt idx="1">
                  <c:v>May</c:v>
                </c:pt>
                <c:pt idx="2">
                  <c:v>Jun</c:v>
                </c:pt>
                <c:pt idx="3">
                  <c:v>Jul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</c:strCache>
            </c:strRef>
          </c:cat>
          <c:val>
            <c:numRef>
              <c:f>'H&amp;S'!$D$11:$M$11</c:f>
              <c:numCache>
                <c:formatCode>General</c:formatCode>
                <c:ptCount val="10"/>
                <c:pt idx="0">
                  <c:v>202</c:v>
                </c:pt>
                <c:pt idx="1">
                  <c:v>401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5-40C1-ABB5-7706DD256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678656"/>
        <c:axId val="464678328"/>
      </c:barChart>
      <c:catAx>
        <c:axId val="4646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678328"/>
        <c:crosses val="autoZero"/>
        <c:auto val="1"/>
        <c:lblAlgn val="ctr"/>
        <c:lblOffset val="100"/>
        <c:noMultiLvlLbl val="0"/>
      </c:catAx>
      <c:valAx>
        <c:axId val="464678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646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33866</xdr:colOff>
      <xdr:row>0</xdr:row>
      <xdr:rowOff>381007</xdr:rowOff>
    </xdr:from>
    <xdr:to>
      <xdr:col>27</xdr:col>
      <xdr:colOff>84666</xdr:colOff>
      <xdr:row>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169333</xdr:colOff>
      <xdr:row>9</xdr:row>
      <xdr:rowOff>110066</xdr:rowOff>
    </xdr:from>
    <xdr:to>
      <xdr:col>24</xdr:col>
      <xdr:colOff>220133</xdr:colOff>
      <xdr:row>17</xdr:row>
      <xdr:rowOff>211659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262466</xdr:colOff>
      <xdr:row>9</xdr:row>
      <xdr:rowOff>127000</xdr:rowOff>
    </xdr:from>
    <xdr:to>
      <xdr:col>30</xdr:col>
      <xdr:colOff>313266</xdr:colOff>
      <xdr:row>17</xdr:row>
      <xdr:rowOff>228593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169333</xdr:colOff>
      <xdr:row>18</xdr:row>
      <xdr:rowOff>8466</xdr:rowOff>
    </xdr:from>
    <xdr:to>
      <xdr:col>24</xdr:col>
      <xdr:colOff>220133</xdr:colOff>
      <xdr:row>26</xdr:row>
      <xdr:rowOff>110059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50"/>
  <sheetViews>
    <sheetView showGridLines="0"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H13" sqref="H13"/>
    </sheetView>
  </sheetViews>
  <sheetFormatPr defaultColWidth="10.88671875" defaultRowHeight="18" customHeight="1" x14ac:dyDescent="0.3"/>
  <cols>
    <col min="1" max="1" width="1.6640625" style="5" customWidth="1"/>
    <col min="2" max="2" width="20.5546875" style="4" customWidth="1"/>
    <col min="3" max="3" width="57.88671875" style="5" bestFit="1" customWidth="1"/>
    <col min="4" max="4" width="9" style="4" customWidth="1"/>
    <col min="5" max="5" width="11.109375" style="5" customWidth="1"/>
    <col min="6" max="15" width="10.88671875" style="5"/>
    <col min="16" max="16" width="10.88671875" style="21"/>
    <col min="17" max="17" width="12.109375" style="5" customWidth="1"/>
    <col min="18" max="16384" width="10.88671875" style="5"/>
  </cols>
  <sheetData>
    <row r="1" spans="2:18" ht="30.6" customHeight="1" x14ac:dyDescent="0.3">
      <c r="B1" s="50" t="s">
        <v>0</v>
      </c>
      <c r="C1" s="51"/>
      <c r="D1" s="52">
        <v>2026</v>
      </c>
      <c r="E1" s="52"/>
      <c r="F1" s="52"/>
      <c r="G1" s="52"/>
      <c r="H1" s="52"/>
      <c r="I1" s="52"/>
      <c r="J1" s="52"/>
      <c r="K1" s="52"/>
      <c r="L1" s="52"/>
      <c r="M1" s="52">
        <v>2027</v>
      </c>
      <c r="N1" s="52"/>
      <c r="O1" s="52"/>
    </row>
    <row r="2" spans="2:18" ht="25.5" customHeight="1" x14ac:dyDescent="0.3">
      <c r="C2" s="28"/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10</v>
      </c>
      <c r="N2" s="10" t="s">
        <v>11</v>
      </c>
      <c r="O2" s="10" t="s">
        <v>12</v>
      </c>
      <c r="P2" s="22" t="s">
        <v>13</v>
      </c>
      <c r="Q2" s="22" t="s">
        <v>14</v>
      </c>
    </row>
    <row r="3" spans="2:18" ht="18" customHeight="1" x14ac:dyDescent="0.3">
      <c r="B3" s="47" t="s">
        <v>15</v>
      </c>
      <c r="C3" s="19" t="s">
        <v>16</v>
      </c>
      <c r="D3" s="7">
        <v>0</v>
      </c>
      <c r="E3" s="7">
        <v>0</v>
      </c>
      <c r="F3" s="7"/>
      <c r="G3" s="7"/>
      <c r="H3" s="7"/>
      <c r="I3" s="7"/>
      <c r="J3" s="7"/>
      <c r="K3" s="7"/>
      <c r="L3" s="7"/>
      <c r="M3" s="7"/>
      <c r="N3" s="7"/>
      <c r="O3" s="7"/>
      <c r="P3" s="23">
        <f t="shared" ref="P3:Q27" si="0">SUM(D3:O3)</f>
        <v>0</v>
      </c>
      <c r="Q3" s="23">
        <f t="shared" si="0"/>
        <v>0</v>
      </c>
    </row>
    <row r="4" spans="2:18" ht="18" customHeight="1" x14ac:dyDescent="0.3">
      <c r="B4" s="53"/>
      <c r="C4" s="3" t="s">
        <v>17</v>
      </c>
      <c r="D4" s="7">
        <v>0</v>
      </c>
      <c r="E4" s="7">
        <v>0</v>
      </c>
      <c r="F4" s="7"/>
      <c r="G4" s="7"/>
      <c r="H4" s="7"/>
      <c r="I4" s="7"/>
      <c r="J4" s="7"/>
      <c r="K4" s="7"/>
      <c r="L4" s="7"/>
      <c r="M4" s="7"/>
      <c r="N4" s="7"/>
      <c r="O4" s="7"/>
      <c r="P4" s="23">
        <f t="shared" si="0"/>
        <v>0</v>
      </c>
      <c r="Q4" s="23">
        <f t="shared" si="0"/>
        <v>0</v>
      </c>
    </row>
    <row r="5" spans="2:18" ht="18" customHeight="1" x14ac:dyDescent="0.3">
      <c r="B5" s="53"/>
      <c r="C5" s="3" t="s">
        <v>18</v>
      </c>
      <c r="D5" s="7">
        <v>0</v>
      </c>
      <c r="E5" s="7">
        <v>0</v>
      </c>
      <c r="F5" s="7"/>
      <c r="G5" s="7"/>
      <c r="H5" s="7"/>
      <c r="I5" s="7"/>
      <c r="J5" s="7"/>
      <c r="K5" s="7"/>
      <c r="L5" s="7"/>
      <c r="M5" s="7"/>
      <c r="N5" s="7"/>
      <c r="O5" s="7"/>
      <c r="P5" s="23">
        <f t="shared" si="0"/>
        <v>0</v>
      </c>
      <c r="Q5" s="23">
        <f t="shared" si="0"/>
        <v>0</v>
      </c>
    </row>
    <row r="6" spans="2:18" ht="18" customHeight="1" x14ac:dyDescent="0.3">
      <c r="B6" s="53"/>
      <c r="C6" s="3" t="s">
        <v>19</v>
      </c>
      <c r="D6" s="7">
        <v>0</v>
      </c>
      <c r="E6" s="7">
        <v>0</v>
      </c>
      <c r="F6" s="7"/>
      <c r="G6" s="7"/>
      <c r="H6" s="7"/>
      <c r="I6" s="7"/>
      <c r="J6" s="7"/>
      <c r="K6" s="7"/>
      <c r="L6" s="7"/>
      <c r="M6" s="7"/>
      <c r="N6" s="7"/>
      <c r="O6" s="7"/>
      <c r="P6" s="23">
        <f t="shared" si="0"/>
        <v>0</v>
      </c>
      <c r="Q6" s="23">
        <f t="shared" si="0"/>
        <v>0</v>
      </c>
    </row>
    <row r="7" spans="2:18" ht="18" customHeight="1" x14ac:dyDescent="0.3">
      <c r="B7" s="53"/>
      <c r="C7" s="3" t="s">
        <v>20</v>
      </c>
      <c r="D7" s="7">
        <v>0</v>
      </c>
      <c r="E7" s="7">
        <v>0</v>
      </c>
      <c r="F7" s="7"/>
      <c r="G7" s="7"/>
      <c r="H7" s="7"/>
      <c r="I7" s="7"/>
      <c r="J7" s="7"/>
      <c r="K7" s="7"/>
      <c r="L7" s="7"/>
      <c r="M7" s="7"/>
      <c r="N7" s="7"/>
      <c r="O7" s="7"/>
      <c r="P7" s="23">
        <f t="shared" si="0"/>
        <v>0</v>
      </c>
      <c r="Q7" s="23">
        <f t="shared" si="0"/>
        <v>0</v>
      </c>
    </row>
    <row r="8" spans="2:18" ht="18" customHeight="1" x14ac:dyDescent="0.3">
      <c r="B8" s="53"/>
      <c r="C8" s="25" t="s">
        <v>21</v>
      </c>
      <c r="D8" s="7">
        <v>0</v>
      </c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34">
        <f t="shared" si="0"/>
        <v>1</v>
      </c>
      <c r="Q8" s="23">
        <v>0</v>
      </c>
    </row>
    <row r="9" spans="2:18" ht="18" customHeight="1" x14ac:dyDescent="0.3">
      <c r="B9" s="54"/>
      <c r="C9" s="3" t="s">
        <v>22</v>
      </c>
      <c r="D9" s="7">
        <v>0</v>
      </c>
      <c r="E9" s="7">
        <v>0</v>
      </c>
      <c r="F9" s="7"/>
      <c r="G9" s="7"/>
      <c r="H9" s="7"/>
      <c r="I9" s="7"/>
      <c r="J9" s="7"/>
      <c r="K9" s="7"/>
      <c r="L9" s="7"/>
      <c r="M9" s="7"/>
      <c r="N9" s="7"/>
      <c r="O9" s="7"/>
      <c r="P9" s="23">
        <f t="shared" si="0"/>
        <v>0</v>
      </c>
      <c r="Q9" s="23" t="s">
        <v>23</v>
      </c>
    </row>
    <row r="10" spans="2:18" ht="18" customHeight="1" x14ac:dyDescent="0.3">
      <c r="B10" s="47" t="s">
        <v>24</v>
      </c>
      <c r="C10" s="26" t="s">
        <v>25</v>
      </c>
      <c r="D10" s="7">
        <v>0</v>
      </c>
      <c r="E10" s="7">
        <v>0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34">
        <f t="shared" si="0"/>
        <v>0</v>
      </c>
      <c r="Q10" s="23">
        <v>11</v>
      </c>
    </row>
    <row r="11" spans="2:18" ht="18" customHeight="1" x14ac:dyDescent="0.3">
      <c r="B11" s="48"/>
      <c r="C11" s="3" t="s">
        <v>26</v>
      </c>
      <c r="D11" s="8">
        <f>D12+D13</f>
        <v>202</v>
      </c>
      <c r="E11" s="8">
        <f t="shared" ref="E11:O11" si="1">E12+E13</f>
        <v>401</v>
      </c>
      <c r="F11" s="8">
        <f t="shared" si="1"/>
        <v>0</v>
      </c>
      <c r="G11" s="8">
        <f t="shared" si="1"/>
        <v>0</v>
      </c>
      <c r="H11" s="8">
        <f t="shared" si="1"/>
        <v>0</v>
      </c>
      <c r="I11" s="8">
        <f t="shared" si="1"/>
        <v>0</v>
      </c>
      <c r="J11" s="8">
        <f t="shared" si="1"/>
        <v>0</v>
      </c>
      <c r="K11" s="8">
        <f t="shared" si="1"/>
        <v>0</v>
      </c>
      <c r="L11" s="8">
        <f t="shared" si="1"/>
        <v>0</v>
      </c>
      <c r="M11" s="8">
        <f t="shared" si="1"/>
        <v>0</v>
      </c>
      <c r="N11" s="8">
        <f t="shared" si="1"/>
        <v>0</v>
      </c>
      <c r="O11" s="8">
        <f t="shared" si="1"/>
        <v>0</v>
      </c>
      <c r="P11" s="33">
        <f t="shared" si="0"/>
        <v>603</v>
      </c>
      <c r="Q11" s="23">
        <v>3760</v>
      </c>
      <c r="R11" s="40"/>
    </row>
    <row r="12" spans="2:18" ht="18" customHeight="1" x14ac:dyDescent="0.3">
      <c r="B12" s="48"/>
      <c r="C12" s="25" t="s">
        <v>27</v>
      </c>
      <c r="D12" s="7">
        <v>129</v>
      </c>
      <c r="E12" s="7">
        <v>371</v>
      </c>
      <c r="F12" s="7"/>
      <c r="G12" s="7"/>
      <c r="H12" s="7"/>
      <c r="I12" s="7"/>
      <c r="J12" s="7"/>
      <c r="K12" s="7"/>
      <c r="L12" s="7"/>
      <c r="M12" s="7"/>
      <c r="N12" s="12"/>
      <c r="O12" s="7"/>
      <c r="P12" s="24">
        <f t="shared" si="0"/>
        <v>500</v>
      </c>
      <c r="Q12" s="23" t="s">
        <v>23</v>
      </c>
    </row>
    <row r="13" spans="2:18" ht="18" customHeight="1" x14ac:dyDescent="0.3">
      <c r="B13" s="48"/>
      <c r="C13" s="25" t="s">
        <v>28</v>
      </c>
      <c r="D13" s="7">
        <v>73</v>
      </c>
      <c r="E13" s="7">
        <v>30</v>
      </c>
      <c r="F13" s="7"/>
      <c r="G13" s="7"/>
      <c r="H13" s="7"/>
      <c r="I13" s="7"/>
      <c r="J13" s="7"/>
      <c r="K13" s="7"/>
      <c r="L13" s="7"/>
      <c r="M13" s="7"/>
      <c r="N13" s="39"/>
      <c r="O13" s="7"/>
      <c r="P13" s="24">
        <f t="shared" si="0"/>
        <v>103</v>
      </c>
      <c r="Q13" s="23" t="s">
        <v>23</v>
      </c>
    </row>
    <row r="14" spans="2:18" ht="18" customHeight="1" x14ac:dyDescent="0.3">
      <c r="B14" s="48"/>
      <c r="C14" s="3" t="s">
        <v>29</v>
      </c>
      <c r="D14" s="7">
        <v>72</v>
      </c>
      <c r="E14" s="7">
        <v>74</v>
      </c>
      <c r="F14" s="7"/>
      <c r="G14" s="7"/>
      <c r="H14" s="7"/>
      <c r="I14" s="7"/>
      <c r="J14" s="7"/>
      <c r="K14" s="7"/>
      <c r="L14" s="7"/>
      <c r="M14" s="7"/>
      <c r="N14" s="39"/>
      <c r="O14" s="7"/>
      <c r="P14" s="23">
        <f t="shared" si="0"/>
        <v>146</v>
      </c>
      <c r="Q14" s="23"/>
    </row>
    <row r="15" spans="2:18" ht="18" customHeight="1" x14ac:dyDescent="0.3">
      <c r="B15" s="48"/>
      <c r="C15" s="3" t="s">
        <v>30</v>
      </c>
      <c r="D15" s="7">
        <v>80</v>
      </c>
      <c r="E15" s="7">
        <v>80</v>
      </c>
      <c r="F15" s="7"/>
      <c r="G15" s="7"/>
      <c r="H15" s="7"/>
      <c r="I15" s="7"/>
      <c r="J15" s="7"/>
      <c r="K15" s="7"/>
      <c r="L15" s="7"/>
      <c r="M15" s="7"/>
      <c r="N15" s="39"/>
      <c r="O15" s="7"/>
      <c r="P15" s="23">
        <f t="shared" si="0"/>
        <v>160</v>
      </c>
      <c r="Q15" s="23"/>
    </row>
    <row r="16" spans="2:18" ht="18" customHeight="1" x14ac:dyDescent="0.3">
      <c r="B16" s="48"/>
      <c r="C16" s="3" t="s">
        <v>31</v>
      </c>
      <c r="D16" s="7">
        <v>182</v>
      </c>
      <c r="E16" s="7">
        <v>320</v>
      </c>
      <c r="F16" s="7"/>
      <c r="G16" s="7"/>
      <c r="H16" s="7"/>
      <c r="I16" s="7"/>
      <c r="J16" s="7"/>
      <c r="K16" s="7"/>
      <c r="L16" s="7"/>
      <c r="M16" s="7"/>
      <c r="N16" s="39"/>
      <c r="O16" s="7"/>
      <c r="P16" s="23">
        <f t="shared" si="0"/>
        <v>502</v>
      </c>
      <c r="Q16" s="23"/>
    </row>
    <row r="17" spans="2:18" ht="18" customHeight="1" x14ac:dyDescent="0.3">
      <c r="B17" s="48"/>
      <c r="C17" s="3" t="s">
        <v>32</v>
      </c>
      <c r="D17" s="7">
        <v>168</v>
      </c>
      <c r="E17" s="7">
        <v>290</v>
      </c>
      <c r="F17" s="7"/>
      <c r="G17" s="7"/>
      <c r="H17" s="7"/>
      <c r="I17" s="7"/>
      <c r="J17" s="7"/>
      <c r="K17" s="7"/>
      <c r="L17" s="7"/>
      <c r="M17" s="7"/>
      <c r="N17" s="39"/>
      <c r="O17" s="7"/>
      <c r="P17" s="23">
        <f t="shared" si="0"/>
        <v>458</v>
      </c>
      <c r="Q17" s="23"/>
      <c r="R17" s="41">
        <f>P17/P16</f>
        <v>0.91235059760956172</v>
      </c>
    </row>
    <row r="18" spans="2:18" ht="18" customHeight="1" x14ac:dyDescent="0.3">
      <c r="B18" s="48"/>
      <c r="C18" s="3" t="s">
        <v>33</v>
      </c>
      <c r="D18" s="8">
        <f>D19+D20</f>
        <v>701</v>
      </c>
      <c r="E18" s="8">
        <f t="shared" ref="E18:O18" si="2">E19+E20</f>
        <v>1817</v>
      </c>
      <c r="F18" s="8">
        <f t="shared" si="2"/>
        <v>0</v>
      </c>
      <c r="G18" s="8">
        <f t="shared" si="2"/>
        <v>0</v>
      </c>
      <c r="H18" s="8">
        <f t="shared" si="2"/>
        <v>0</v>
      </c>
      <c r="I18" s="8">
        <f t="shared" si="2"/>
        <v>0</v>
      </c>
      <c r="J18" s="8">
        <f t="shared" si="2"/>
        <v>0</v>
      </c>
      <c r="K18" s="8">
        <f t="shared" si="2"/>
        <v>0</v>
      </c>
      <c r="L18" s="8">
        <f t="shared" si="2"/>
        <v>0</v>
      </c>
      <c r="M18" s="8">
        <f t="shared" si="2"/>
        <v>0</v>
      </c>
      <c r="N18" s="8">
        <f t="shared" si="2"/>
        <v>0</v>
      </c>
      <c r="O18" s="8">
        <f t="shared" si="2"/>
        <v>0</v>
      </c>
      <c r="P18" s="23">
        <f t="shared" si="0"/>
        <v>2518</v>
      </c>
      <c r="Q18" s="23"/>
    </row>
    <row r="19" spans="2:18" ht="18" customHeight="1" x14ac:dyDescent="0.3">
      <c r="B19" s="48"/>
      <c r="C19" s="3" t="s">
        <v>34</v>
      </c>
      <c r="D19" s="7">
        <v>72</v>
      </c>
      <c r="E19" s="7">
        <v>254</v>
      </c>
      <c r="F19" s="7"/>
      <c r="G19" s="7"/>
      <c r="H19" s="7"/>
      <c r="I19" s="7"/>
      <c r="J19" s="7"/>
      <c r="K19" s="7"/>
      <c r="L19" s="7"/>
      <c r="M19" s="7"/>
      <c r="N19" s="12"/>
      <c r="O19" s="7"/>
      <c r="P19" s="23">
        <f t="shared" si="0"/>
        <v>326</v>
      </c>
      <c r="Q19" s="23"/>
    </row>
    <row r="20" spans="2:18" ht="18" customHeight="1" x14ac:dyDescent="0.3">
      <c r="B20" s="49"/>
      <c r="C20" s="3" t="s">
        <v>35</v>
      </c>
      <c r="D20" s="7">
        <v>629</v>
      </c>
      <c r="E20" s="7">
        <v>1563</v>
      </c>
      <c r="F20" s="7"/>
      <c r="G20" s="7"/>
      <c r="H20" s="7"/>
      <c r="I20" s="7"/>
      <c r="J20" s="7"/>
      <c r="K20" s="16"/>
      <c r="L20" s="7"/>
      <c r="M20" s="7"/>
      <c r="N20" s="39"/>
      <c r="O20" s="7"/>
      <c r="P20" s="23">
        <f t="shared" si="0"/>
        <v>2192</v>
      </c>
      <c r="Q20" s="23"/>
    </row>
    <row r="21" spans="2:18" ht="18" customHeight="1" x14ac:dyDescent="0.3">
      <c r="B21" s="47" t="s">
        <v>36</v>
      </c>
      <c r="C21" s="3" t="s">
        <v>37</v>
      </c>
      <c r="D21" s="7">
        <v>630</v>
      </c>
      <c r="E21" s="7">
        <v>604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23">
        <f>AVERAGE(D21:O21,D21:O21)</f>
        <v>617</v>
      </c>
      <c r="Q21" s="23"/>
    </row>
    <row r="22" spans="2:18" ht="18" customHeight="1" x14ac:dyDescent="0.3">
      <c r="B22" s="48"/>
      <c r="C22" s="3" t="s">
        <v>38</v>
      </c>
      <c r="D22" s="8">
        <f>D23+D24</f>
        <v>118511</v>
      </c>
      <c r="E22" s="8">
        <f t="shared" ref="E22:O22" si="3">E23+E24</f>
        <v>123941</v>
      </c>
      <c r="F22" s="8">
        <f t="shared" si="3"/>
        <v>0</v>
      </c>
      <c r="G22" s="14">
        <f t="shared" si="3"/>
        <v>0</v>
      </c>
      <c r="H22" s="14">
        <f t="shared" si="3"/>
        <v>0</v>
      </c>
      <c r="I22" s="14">
        <f t="shared" si="3"/>
        <v>0</v>
      </c>
      <c r="J22" s="8">
        <f t="shared" si="3"/>
        <v>0</v>
      </c>
      <c r="K22" s="8">
        <f t="shared" si="3"/>
        <v>0</v>
      </c>
      <c r="L22" s="8">
        <f t="shared" si="3"/>
        <v>0</v>
      </c>
      <c r="M22" s="8">
        <f t="shared" si="3"/>
        <v>0</v>
      </c>
      <c r="N22" s="8">
        <f t="shared" si="3"/>
        <v>0</v>
      </c>
      <c r="O22" s="8">
        <f t="shared" si="3"/>
        <v>0</v>
      </c>
      <c r="P22" s="23">
        <f t="shared" si="0"/>
        <v>242452</v>
      </c>
      <c r="Q22" s="23"/>
    </row>
    <row r="23" spans="2:18" ht="18" customHeight="1" x14ac:dyDescent="0.3">
      <c r="B23" s="48"/>
      <c r="C23" s="3" t="s">
        <v>39</v>
      </c>
      <c r="D23" s="7">
        <v>29284</v>
      </c>
      <c r="E23" s="7">
        <v>29420</v>
      </c>
      <c r="F23" s="7"/>
      <c r="G23" s="7"/>
      <c r="H23" s="12"/>
      <c r="I23" s="12"/>
      <c r="J23" s="7"/>
      <c r="K23" s="17"/>
      <c r="L23" s="7"/>
      <c r="M23" s="7"/>
      <c r="N23" s="12"/>
      <c r="O23" s="12"/>
      <c r="P23" s="23">
        <f t="shared" si="0"/>
        <v>58704</v>
      </c>
      <c r="Q23" s="23"/>
    </row>
    <row r="24" spans="2:18" ht="18" customHeight="1" x14ac:dyDescent="0.3">
      <c r="B24" s="48"/>
      <c r="C24" s="3" t="s">
        <v>40</v>
      </c>
      <c r="D24" s="7">
        <v>89227</v>
      </c>
      <c r="E24" s="7">
        <v>94521</v>
      </c>
      <c r="F24" s="7"/>
      <c r="G24" s="7"/>
      <c r="H24" s="12"/>
      <c r="I24" s="12"/>
      <c r="J24" s="7"/>
      <c r="K24" s="17"/>
      <c r="L24" s="7"/>
      <c r="M24" s="7"/>
      <c r="N24" s="39"/>
      <c r="O24" s="39"/>
      <c r="P24" s="23">
        <f t="shared" si="0"/>
        <v>183748</v>
      </c>
      <c r="Q24" s="23"/>
    </row>
    <row r="25" spans="2:18" ht="18" customHeight="1" x14ac:dyDescent="0.3">
      <c r="B25" s="49"/>
      <c r="C25" s="3" t="s">
        <v>41</v>
      </c>
      <c r="D25" s="7">
        <v>0</v>
      </c>
      <c r="E25" s="7">
        <v>0</v>
      </c>
      <c r="F25" s="7"/>
      <c r="G25" s="7"/>
      <c r="H25" s="12"/>
      <c r="I25" s="7"/>
      <c r="J25" s="7"/>
      <c r="K25" s="12"/>
      <c r="L25" s="12"/>
      <c r="M25" s="7"/>
      <c r="N25" s="7"/>
      <c r="O25" s="7"/>
      <c r="P25" s="23">
        <f t="shared" si="0"/>
        <v>0</v>
      </c>
      <c r="Q25" s="23"/>
    </row>
    <row r="26" spans="2:18" ht="18" customHeight="1" x14ac:dyDescent="0.3">
      <c r="B26" s="47" t="s">
        <v>42</v>
      </c>
      <c r="C26" s="3" t="s">
        <v>43</v>
      </c>
      <c r="D26" s="8">
        <f>(D5/D22) *200000</f>
        <v>0</v>
      </c>
      <c r="E26" s="8">
        <f t="shared" ref="E26:O26" si="4">(E5/E22) *200000</f>
        <v>0</v>
      </c>
      <c r="F26" s="8" t="e">
        <f t="shared" si="4"/>
        <v>#DIV/0!</v>
      </c>
      <c r="G26" s="15" t="e">
        <f t="shared" si="4"/>
        <v>#DIV/0!</v>
      </c>
      <c r="H26" s="15" t="e">
        <f t="shared" si="4"/>
        <v>#DIV/0!</v>
      </c>
      <c r="I26" s="15" t="e">
        <f t="shared" si="4"/>
        <v>#DIV/0!</v>
      </c>
      <c r="J26" s="8" t="e">
        <f t="shared" si="4"/>
        <v>#DIV/0!</v>
      </c>
      <c r="K26" s="8" t="e">
        <f t="shared" si="4"/>
        <v>#DIV/0!</v>
      </c>
      <c r="L26" s="8" t="e">
        <f t="shared" si="4"/>
        <v>#DIV/0!</v>
      </c>
      <c r="M26" s="8" t="e">
        <f t="shared" si="4"/>
        <v>#DIV/0!</v>
      </c>
      <c r="N26" s="8" t="e">
        <f t="shared" si="4"/>
        <v>#DIV/0!</v>
      </c>
      <c r="O26" s="8" t="e">
        <f t="shared" si="4"/>
        <v>#DIV/0!</v>
      </c>
      <c r="P26" s="23" t="e">
        <f t="shared" si="0"/>
        <v>#DIV/0!</v>
      </c>
      <c r="Q26" s="23"/>
    </row>
    <row r="27" spans="2:18" ht="18" customHeight="1" x14ac:dyDescent="0.3">
      <c r="B27" s="48"/>
      <c r="C27" s="3" t="s">
        <v>44</v>
      </c>
      <c r="D27" s="8">
        <f>((D3+D5+D6+D7)/D22)*200000</f>
        <v>0</v>
      </c>
      <c r="E27" s="8">
        <f t="shared" ref="E27:O27" si="5">((E3+E5+E6+E7)/E22)*200000</f>
        <v>0</v>
      </c>
      <c r="F27" s="8" t="e">
        <f t="shared" si="5"/>
        <v>#DIV/0!</v>
      </c>
      <c r="G27" s="8" t="e">
        <f t="shared" si="5"/>
        <v>#DIV/0!</v>
      </c>
      <c r="H27" s="8" t="e">
        <f t="shared" si="5"/>
        <v>#DIV/0!</v>
      </c>
      <c r="I27" s="8" t="e">
        <f t="shared" si="5"/>
        <v>#DIV/0!</v>
      </c>
      <c r="J27" s="8" t="e">
        <f t="shared" si="5"/>
        <v>#DIV/0!</v>
      </c>
      <c r="K27" s="8" t="e">
        <f t="shared" si="5"/>
        <v>#DIV/0!</v>
      </c>
      <c r="L27" s="8" t="e">
        <f t="shared" si="5"/>
        <v>#DIV/0!</v>
      </c>
      <c r="M27" s="8" t="e">
        <f t="shared" si="5"/>
        <v>#DIV/0!</v>
      </c>
      <c r="N27" s="8" t="e">
        <f t="shared" si="5"/>
        <v>#DIV/0!</v>
      </c>
      <c r="O27" s="8" t="e">
        <f t="shared" si="5"/>
        <v>#DIV/0!</v>
      </c>
      <c r="P27" s="23" t="e">
        <f t="shared" si="0"/>
        <v>#DIV/0!</v>
      </c>
      <c r="Q27" s="23"/>
    </row>
    <row r="28" spans="2:18" ht="18" customHeight="1" x14ac:dyDescent="0.3">
      <c r="B28" s="48"/>
      <c r="C28" s="25" t="s">
        <v>45</v>
      </c>
      <c r="D28" s="8">
        <f>(D10/D22)*200000</f>
        <v>0</v>
      </c>
      <c r="E28" s="20">
        <f t="shared" ref="E28:O28" si="6">(E10/E22)*200000</f>
        <v>0</v>
      </c>
      <c r="F28" s="8" t="e">
        <f t="shared" si="6"/>
        <v>#DIV/0!</v>
      </c>
      <c r="G28" s="8" t="e">
        <f t="shared" si="6"/>
        <v>#DIV/0!</v>
      </c>
      <c r="H28" s="8" t="e">
        <f t="shared" si="6"/>
        <v>#DIV/0!</v>
      </c>
      <c r="I28" s="8" t="e">
        <f t="shared" si="6"/>
        <v>#DIV/0!</v>
      </c>
      <c r="J28" s="8" t="e">
        <f t="shared" si="6"/>
        <v>#DIV/0!</v>
      </c>
      <c r="K28" s="8" t="e">
        <f t="shared" si="6"/>
        <v>#DIV/0!</v>
      </c>
      <c r="L28" s="8" t="e">
        <f t="shared" si="6"/>
        <v>#DIV/0!</v>
      </c>
      <c r="M28" s="8" t="e">
        <f t="shared" si="6"/>
        <v>#DIV/0!</v>
      </c>
      <c r="N28" s="8" t="e">
        <f t="shared" si="6"/>
        <v>#DIV/0!</v>
      </c>
      <c r="O28" s="8" t="e">
        <f t="shared" si="6"/>
        <v>#DIV/0!</v>
      </c>
      <c r="P28" s="34" t="e">
        <f>AVERAGE(D28:N28)</f>
        <v>#DIV/0!</v>
      </c>
      <c r="Q28" s="23">
        <v>0.82</v>
      </c>
    </row>
    <row r="29" spans="2:18" ht="18" customHeight="1" x14ac:dyDescent="0.3">
      <c r="B29" s="48"/>
      <c r="C29" s="25" t="s">
        <v>46</v>
      </c>
      <c r="D29" s="9">
        <f>D14/D15</f>
        <v>0.9</v>
      </c>
      <c r="E29" s="9">
        <f t="shared" ref="E29:O29" si="7">E14/E15</f>
        <v>0.92500000000000004</v>
      </c>
      <c r="F29" s="9" t="e">
        <f t="shared" si="7"/>
        <v>#DIV/0!</v>
      </c>
      <c r="G29" s="9" t="e">
        <f t="shared" si="7"/>
        <v>#DIV/0!</v>
      </c>
      <c r="H29" s="9" t="e">
        <f t="shared" si="7"/>
        <v>#DIV/0!</v>
      </c>
      <c r="I29" s="9" t="e">
        <f t="shared" si="7"/>
        <v>#DIV/0!</v>
      </c>
      <c r="J29" s="9" t="e">
        <f t="shared" si="7"/>
        <v>#DIV/0!</v>
      </c>
      <c r="K29" s="9" t="e">
        <f t="shared" si="7"/>
        <v>#DIV/0!</v>
      </c>
      <c r="L29" s="9" t="e">
        <f t="shared" si="7"/>
        <v>#DIV/0!</v>
      </c>
      <c r="M29" s="9" t="e">
        <f t="shared" si="7"/>
        <v>#DIV/0!</v>
      </c>
      <c r="N29" s="9" t="e">
        <f t="shared" si="7"/>
        <v>#DIV/0!</v>
      </c>
      <c r="O29" s="9" t="e">
        <f t="shared" si="7"/>
        <v>#DIV/0!</v>
      </c>
      <c r="P29" s="38" t="e">
        <f>AVERAGE(D29:M29)</f>
        <v>#DIV/0!</v>
      </c>
      <c r="Q29" s="37">
        <v>0.85</v>
      </c>
    </row>
    <row r="30" spans="2:18" ht="18" customHeight="1" x14ac:dyDescent="0.3">
      <c r="B30" s="48"/>
      <c r="C30" s="3" t="s">
        <v>47</v>
      </c>
      <c r="D30" s="9">
        <f>D13/D11</f>
        <v>0.36138613861386137</v>
      </c>
      <c r="E30" s="9">
        <f t="shared" ref="E30:O30" si="8">E13/E11</f>
        <v>7.4812967581047385E-2</v>
      </c>
      <c r="F30" s="9" t="e">
        <f t="shared" si="8"/>
        <v>#DIV/0!</v>
      </c>
      <c r="G30" s="9" t="e">
        <f t="shared" si="8"/>
        <v>#DIV/0!</v>
      </c>
      <c r="H30" s="9" t="e">
        <f t="shared" si="8"/>
        <v>#DIV/0!</v>
      </c>
      <c r="I30" s="9" t="e">
        <f t="shared" si="8"/>
        <v>#DIV/0!</v>
      </c>
      <c r="J30" s="9" t="e">
        <f t="shared" si="8"/>
        <v>#DIV/0!</v>
      </c>
      <c r="K30" s="9" t="e">
        <f t="shared" si="8"/>
        <v>#DIV/0!</v>
      </c>
      <c r="L30" s="9" t="e">
        <f t="shared" si="8"/>
        <v>#DIV/0!</v>
      </c>
      <c r="M30" s="9" t="e">
        <f t="shared" si="8"/>
        <v>#DIV/0!</v>
      </c>
      <c r="N30" s="9" t="e">
        <f t="shared" si="8"/>
        <v>#DIV/0!</v>
      </c>
      <c r="O30" s="9" t="e">
        <f t="shared" si="8"/>
        <v>#DIV/0!</v>
      </c>
      <c r="P30" s="38" t="e">
        <f t="shared" ref="P30:P31" si="9">AVERAGE(D30:L30)</f>
        <v>#DIV/0!</v>
      </c>
      <c r="Q30" s="23"/>
    </row>
    <row r="31" spans="2:18" ht="18" customHeight="1" x14ac:dyDescent="0.3">
      <c r="B31" s="48"/>
      <c r="C31" s="3" t="s">
        <v>48</v>
      </c>
      <c r="D31" s="9">
        <f>D12/D11</f>
        <v>0.63861386138613863</v>
      </c>
      <c r="E31" s="9">
        <f t="shared" ref="E31:O31" si="10">E12/E11</f>
        <v>0.92518703241895262</v>
      </c>
      <c r="F31" s="9" t="e">
        <f t="shared" si="10"/>
        <v>#DIV/0!</v>
      </c>
      <c r="G31" s="9" t="e">
        <f t="shared" si="10"/>
        <v>#DIV/0!</v>
      </c>
      <c r="H31" s="9" t="e">
        <f t="shared" si="10"/>
        <v>#DIV/0!</v>
      </c>
      <c r="I31" s="9" t="e">
        <f t="shared" si="10"/>
        <v>#DIV/0!</v>
      </c>
      <c r="J31" s="9" t="e">
        <f t="shared" si="10"/>
        <v>#DIV/0!</v>
      </c>
      <c r="K31" s="9" t="e">
        <f t="shared" si="10"/>
        <v>#DIV/0!</v>
      </c>
      <c r="L31" s="9" t="e">
        <f t="shared" si="10"/>
        <v>#DIV/0!</v>
      </c>
      <c r="M31" s="9" t="e">
        <f t="shared" si="10"/>
        <v>#DIV/0!</v>
      </c>
      <c r="N31" s="9" t="e">
        <f t="shared" si="10"/>
        <v>#DIV/0!</v>
      </c>
      <c r="O31" s="9" t="e">
        <f t="shared" si="10"/>
        <v>#DIV/0!</v>
      </c>
      <c r="P31" s="38" t="e">
        <f t="shared" si="9"/>
        <v>#DIV/0!</v>
      </c>
      <c r="Q31" s="23"/>
    </row>
    <row r="32" spans="2:18" ht="18" customHeight="1" x14ac:dyDescent="0.3">
      <c r="B32" s="48"/>
      <c r="C32" s="25" t="s">
        <v>49</v>
      </c>
      <c r="D32" s="9">
        <f>D17/D16</f>
        <v>0.92307692307692313</v>
      </c>
      <c r="E32" s="9">
        <f t="shared" ref="E32:O32" si="11">E17/E16</f>
        <v>0.90625</v>
      </c>
      <c r="F32" s="9" t="e">
        <f t="shared" si="11"/>
        <v>#DIV/0!</v>
      </c>
      <c r="G32" s="9" t="e">
        <f t="shared" si="11"/>
        <v>#DIV/0!</v>
      </c>
      <c r="H32" s="9" t="e">
        <f t="shared" si="11"/>
        <v>#DIV/0!</v>
      </c>
      <c r="I32" s="9" t="e">
        <f t="shared" si="11"/>
        <v>#DIV/0!</v>
      </c>
      <c r="J32" s="9" t="e">
        <f t="shared" si="11"/>
        <v>#DIV/0!</v>
      </c>
      <c r="K32" s="9" t="e">
        <f t="shared" si="11"/>
        <v>#DIV/0!</v>
      </c>
      <c r="L32" s="9" t="e">
        <f t="shared" si="11"/>
        <v>#DIV/0!</v>
      </c>
      <c r="M32" s="9" t="e">
        <f t="shared" si="11"/>
        <v>#DIV/0!</v>
      </c>
      <c r="N32" s="9" t="e">
        <f t="shared" si="11"/>
        <v>#DIV/0!</v>
      </c>
      <c r="O32" s="9" t="e">
        <f t="shared" si="11"/>
        <v>#DIV/0!</v>
      </c>
      <c r="P32" s="38" t="e">
        <f>AVERAGE(D32:L32)</f>
        <v>#DIV/0!</v>
      </c>
      <c r="Q32" s="23"/>
    </row>
    <row r="33" spans="2:17" ht="18" customHeight="1" x14ac:dyDescent="0.3">
      <c r="B33" s="48"/>
      <c r="C33" s="25" t="s">
        <v>50</v>
      </c>
      <c r="D33" s="8">
        <f>D3+D5+D6+D7</f>
        <v>0</v>
      </c>
      <c r="E33" s="8">
        <f t="shared" ref="E33:O33" si="12">E3+E5+E6+E7</f>
        <v>0</v>
      </c>
      <c r="F33" s="8">
        <f t="shared" si="12"/>
        <v>0</v>
      </c>
      <c r="G33" s="8">
        <f t="shared" si="12"/>
        <v>0</v>
      </c>
      <c r="H33" s="8">
        <f t="shared" si="12"/>
        <v>0</v>
      </c>
      <c r="I33" s="8">
        <f t="shared" si="12"/>
        <v>0</v>
      </c>
      <c r="J33" s="8">
        <f t="shared" si="12"/>
        <v>0</v>
      </c>
      <c r="K33" s="8">
        <f t="shared" si="12"/>
        <v>0</v>
      </c>
      <c r="L33" s="8">
        <f t="shared" si="12"/>
        <v>0</v>
      </c>
      <c r="M33" s="8">
        <f t="shared" si="12"/>
        <v>0</v>
      </c>
      <c r="N33" s="8">
        <f t="shared" si="12"/>
        <v>0</v>
      </c>
      <c r="O33" s="8">
        <f t="shared" si="12"/>
        <v>0</v>
      </c>
      <c r="P33" s="34">
        <f>SUM(D33:O33)</f>
        <v>0</v>
      </c>
      <c r="Q33" s="23">
        <v>0</v>
      </c>
    </row>
    <row r="34" spans="2:17" ht="18" customHeight="1" x14ac:dyDescent="0.3">
      <c r="B34" s="48"/>
      <c r="C34" s="25" t="s">
        <v>51</v>
      </c>
      <c r="D34" s="13">
        <f>D18/D22</f>
        <v>5.9150627367923654E-3</v>
      </c>
      <c r="E34" s="13">
        <f t="shared" ref="E34:O34" si="13">E18/E22</f>
        <v>1.4660201224776305E-2</v>
      </c>
      <c r="F34" s="13" t="e">
        <f t="shared" si="13"/>
        <v>#DIV/0!</v>
      </c>
      <c r="G34" s="13" t="e">
        <f t="shared" si="13"/>
        <v>#DIV/0!</v>
      </c>
      <c r="H34" s="13" t="e">
        <f t="shared" si="13"/>
        <v>#DIV/0!</v>
      </c>
      <c r="I34" s="13" t="e">
        <f t="shared" si="13"/>
        <v>#DIV/0!</v>
      </c>
      <c r="J34" s="13" t="e">
        <f t="shared" si="13"/>
        <v>#DIV/0!</v>
      </c>
      <c r="K34" s="13" t="e">
        <f t="shared" si="13"/>
        <v>#DIV/0!</v>
      </c>
      <c r="L34" s="13" t="e">
        <f t="shared" si="13"/>
        <v>#DIV/0!</v>
      </c>
      <c r="M34" s="9" t="e">
        <f t="shared" si="13"/>
        <v>#DIV/0!</v>
      </c>
      <c r="N34" s="9" t="e">
        <f t="shared" si="13"/>
        <v>#DIV/0!</v>
      </c>
      <c r="O34" s="9" t="e">
        <f t="shared" si="13"/>
        <v>#DIV/0!</v>
      </c>
      <c r="P34" s="35">
        <f>AVERAGE(D34:E34)</f>
        <v>1.0287631980784334E-2</v>
      </c>
      <c r="Q34" s="36">
        <v>1.4999999999999999E-2</v>
      </c>
    </row>
    <row r="35" spans="2:17" ht="24" customHeight="1" x14ac:dyDescent="0.3">
      <c r="B35" s="48"/>
      <c r="C35" s="3" t="s">
        <v>52</v>
      </c>
      <c r="D35" s="9">
        <f>D19/D23</f>
        <v>2.458680508127305E-3</v>
      </c>
      <c r="E35" s="9">
        <f t="shared" ref="E35:O35" si="14">E19/E23</f>
        <v>8.6335825968728748E-3</v>
      </c>
      <c r="F35" s="9" t="e">
        <f t="shared" si="14"/>
        <v>#DIV/0!</v>
      </c>
      <c r="G35" s="9" t="e">
        <f t="shared" si="14"/>
        <v>#DIV/0!</v>
      </c>
      <c r="H35" s="9" t="e">
        <f t="shared" si="14"/>
        <v>#DIV/0!</v>
      </c>
      <c r="I35" s="9" t="e">
        <f t="shared" si="14"/>
        <v>#DIV/0!</v>
      </c>
      <c r="J35" s="9" t="e">
        <f t="shared" si="14"/>
        <v>#DIV/0!</v>
      </c>
      <c r="K35" s="9" t="e">
        <f t="shared" si="14"/>
        <v>#DIV/0!</v>
      </c>
      <c r="L35" s="9" t="e">
        <f t="shared" si="14"/>
        <v>#DIV/0!</v>
      </c>
      <c r="M35" s="9" t="e">
        <f t="shared" si="14"/>
        <v>#DIV/0!</v>
      </c>
      <c r="N35" s="9" t="e">
        <f t="shared" si="14"/>
        <v>#DIV/0!</v>
      </c>
      <c r="O35" s="9" t="e">
        <f t="shared" si="14"/>
        <v>#DIV/0!</v>
      </c>
      <c r="P35" s="23" t="e">
        <f>SUM(D35:O35)</f>
        <v>#DIV/0!</v>
      </c>
      <c r="Q35" s="23"/>
    </row>
    <row r="36" spans="2:17" ht="18" customHeight="1" x14ac:dyDescent="0.3">
      <c r="B36" s="48"/>
      <c r="C36" s="3" t="s">
        <v>53</v>
      </c>
      <c r="D36" s="9">
        <f>D20/D24</f>
        <v>7.0494357089221872E-3</v>
      </c>
      <c r="E36" s="9">
        <f t="shared" ref="E36:O36" si="15">E20/E24</f>
        <v>1.6536007871266703E-2</v>
      </c>
      <c r="F36" s="9" t="e">
        <f t="shared" si="15"/>
        <v>#DIV/0!</v>
      </c>
      <c r="G36" s="9" t="e">
        <f t="shared" si="15"/>
        <v>#DIV/0!</v>
      </c>
      <c r="H36" s="9" t="e">
        <f t="shared" si="15"/>
        <v>#DIV/0!</v>
      </c>
      <c r="I36" s="9" t="e">
        <f t="shared" si="15"/>
        <v>#DIV/0!</v>
      </c>
      <c r="J36" s="9" t="e">
        <f t="shared" si="15"/>
        <v>#DIV/0!</v>
      </c>
      <c r="K36" s="9" t="e">
        <f t="shared" si="15"/>
        <v>#DIV/0!</v>
      </c>
      <c r="L36" s="9" t="e">
        <f t="shared" si="15"/>
        <v>#DIV/0!</v>
      </c>
      <c r="M36" s="9" t="e">
        <f t="shared" si="15"/>
        <v>#DIV/0!</v>
      </c>
      <c r="N36" s="9" t="e">
        <f t="shared" si="15"/>
        <v>#DIV/0!</v>
      </c>
      <c r="O36" s="9" t="e">
        <f t="shared" si="15"/>
        <v>#DIV/0!</v>
      </c>
      <c r="P36" s="23" t="e">
        <f>SUM(D36:O36)</f>
        <v>#DIV/0!</v>
      </c>
      <c r="Q36" s="23"/>
    </row>
    <row r="37" spans="2:17" ht="18" customHeight="1" x14ac:dyDescent="0.3">
      <c r="B37" s="49"/>
      <c r="C37" s="3" t="s">
        <v>54</v>
      </c>
      <c r="D37" s="20">
        <f>D18/D21</f>
        <v>1.1126984126984127</v>
      </c>
      <c r="E37" s="20">
        <f t="shared" ref="E37:O37" si="16">E18/E21</f>
        <v>3.0082781456953644</v>
      </c>
      <c r="F37" s="20" t="e">
        <f t="shared" si="16"/>
        <v>#DIV/0!</v>
      </c>
      <c r="G37" s="20" t="e">
        <f t="shared" si="16"/>
        <v>#DIV/0!</v>
      </c>
      <c r="H37" s="20" t="e">
        <f t="shared" si="16"/>
        <v>#DIV/0!</v>
      </c>
      <c r="I37" s="20" t="e">
        <f t="shared" si="16"/>
        <v>#DIV/0!</v>
      </c>
      <c r="J37" s="20" t="e">
        <f t="shared" si="16"/>
        <v>#DIV/0!</v>
      </c>
      <c r="K37" s="20" t="e">
        <f t="shared" si="16"/>
        <v>#DIV/0!</v>
      </c>
      <c r="L37" s="20" t="e">
        <f t="shared" si="16"/>
        <v>#DIV/0!</v>
      </c>
      <c r="M37" s="20" t="e">
        <f t="shared" si="16"/>
        <v>#DIV/0!</v>
      </c>
      <c r="N37" s="20" t="e">
        <f t="shared" si="16"/>
        <v>#DIV/0!</v>
      </c>
      <c r="O37" s="20" t="e">
        <f t="shared" si="16"/>
        <v>#DIV/0!</v>
      </c>
      <c r="P37" s="23" t="e">
        <f>SUM(D37:O37)</f>
        <v>#DIV/0!</v>
      </c>
      <c r="Q37" s="23"/>
    </row>
    <row r="48" spans="2:17" ht="18" customHeight="1" x14ac:dyDescent="0.2">
      <c r="C48" s="1"/>
    </row>
    <row r="49" spans="3:4" ht="18" customHeight="1" x14ac:dyDescent="0.2">
      <c r="C49" s="1"/>
      <c r="D49" s="2"/>
    </row>
    <row r="50" spans="3:4" ht="18" customHeight="1" x14ac:dyDescent="0.2">
      <c r="C50" s="1"/>
    </row>
  </sheetData>
  <mergeCells count="7">
    <mergeCell ref="B21:B25"/>
    <mergeCell ref="B26:B37"/>
    <mergeCell ref="B1:C1"/>
    <mergeCell ref="D1:L1"/>
    <mergeCell ref="M1:O1"/>
    <mergeCell ref="B3:B9"/>
    <mergeCell ref="B10:B20"/>
  </mergeCells>
  <pageMargins left="0.7" right="0.7" top="0.75" bottom="0.75" header="0.3" footer="0.3"/>
  <pageSetup paperSize="9" fitToWidth="0" fitToHeight="0" orientation="landscape" r:id="rId1"/>
  <ignoredErrors>
    <ignoredError sqref="P2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48"/>
  <sheetViews>
    <sheetView showGridLines="0" tabSelected="1" zoomScale="80" zoomScaleNormal="8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R12" sqref="R12"/>
    </sheetView>
  </sheetViews>
  <sheetFormatPr defaultColWidth="10.88671875" defaultRowHeight="18" customHeight="1" x14ac:dyDescent="0.3"/>
  <cols>
    <col min="1" max="1" width="1.5546875" style="5" customWidth="1"/>
    <col min="2" max="2" width="10.33203125" style="5" customWidth="1"/>
    <col min="3" max="3" width="30.6640625" style="6" customWidth="1"/>
    <col min="4" max="4" width="55.109375" style="5" bestFit="1" customWidth="1"/>
    <col min="5" max="5" width="12.21875" style="4" bestFit="1" customWidth="1"/>
    <col min="6" max="18" width="10.88671875" style="5"/>
    <col min="19" max="19" width="14.6640625" style="5" customWidth="1"/>
    <col min="20" max="20" width="12.21875" style="5" bestFit="1" customWidth="1"/>
    <col min="21" max="16384" width="10.88671875" style="5"/>
  </cols>
  <sheetData>
    <row r="1" spans="2:22" ht="22.2" customHeight="1" x14ac:dyDescent="0.3">
      <c r="E1" s="52">
        <v>2026</v>
      </c>
      <c r="F1" s="52"/>
      <c r="G1" s="52"/>
      <c r="H1" s="52"/>
      <c r="I1" s="52"/>
      <c r="J1" s="52"/>
      <c r="K1" s="52"/>
      <c r="L1" s="52"/>
      <c r="M1" s="52"/>
      <c r="N1" s="52">
        <v>2027</v>
      </c>
      <c r="O1" s="52"/>
      <c r="P1" s="52"/>
    </row>
    <row r="2" spans="2:22" ht="25.5" customHeight="1" x14ac:dyDescent="0.3">
      <c r="B2" s="55" t="s">
        <v>55</v>
      </c>
      <c r="C2" s="56"/>
      <c r="D2" s="57"/>
      <c r="E2" s="10">
        <v>46113</v>
      </c>
      <c r="F2" s="10">
        <v>46143</v>
      </c>
      <c r="G2" s="10">
        <v>46174</v>
      </c>
      <c r="H2" s="10">
        <v>46204</v>
      </c>
      <c r="I2" s="10">
        <v>46235</v>
      </c>
      <c r="J2" s="10">
        <v>46266</v>
      </c>
      <c r="K2" s="10">
        <v>46296</v>
      </c>
      <c r="L2" s="10">
        <v>46327</v>
      </c>
      <c r="M2" s="10">
        <v>46357</v>
      </c>
      <c r="N2" s="10">
        <v>46388</v>
      </c>
      <c r="O2" s="10">
        <v>46419</v>
      </c>
      <c r="P2" s="10">
        <v>46447</v>
      </c>
      <c r="Q2" s="10" t="s">
        <v>13</v>
      </c>
      <c r="R2" s="10" t="s">
        <v>56</v>
      </c>
    </row>
    <row r="3" spans="2:22" ht="18" customHeight="1" x14ac:dyDescent="0.3">
      <c r="B3" s="12" t="s">
        <v>57</v>
      </c>
      <c r="C3" s="3" t="s">
        <v>57</v>
      </c>
      <c r="D3" s="3" t="s">
        <v>58</v>
      </c>
      <c r="E3" s="12">
        <v>1674.32</v>
      </c>
      <c r="F3" s="7">
        <v>1791.12</v>
      </c>
      <c r="G3" s="7"/>
      <c r="H3" s="7"/>
      <c r="I3" s="7"/>
      <c r="J3" s="7"/>
      <c r="K3" s="18"/>
      <c r="L3" s="32"/>
      <c r="M3" s="7"/>
      <c r="N3" s="7"/>
      <c r="O3" s="7"/>
      <c r="P3" s="7"/>
      <c r="Q3" s="23">
        <f>SUM(E3:P3)</f>
        <v>3465.4399999999996</v>
      </c>
      <c r="R3" s="11"/>
    </row>
    <row r="4" spans="2:22" ht="18" customHeight="1" x14ac:dyDescent="0.3">
      <c r="B4" s="47" t="s">
        <v>59</v>
      </c>
      <c r="C4" s="61" t="s">
        <v>60</v>
      </c>
      <c r="D4" s="3" t="s">
        <v>61</v>
      </c>
      <c r="E4" s="7">
        <v>610</v>
      </c>
      <c r="F4" s="43">
        <v>560</v>
      </c>
      <c r="G4" s="7"/>
      <c r="H4" s="7"/>
      <c r="I4" s="7"/>
      <c r="J4" s="7"/>
      <c r="K4" s="7"/>
      <c r="L4" s="7"/>
      <c r="M4" s="7"/>
      <c r="N4" s="7"/>
      <c r="O4" s="7"/>
      <c r="P4" s="7"/>
      <c r="Q4" s="23">
        <f t="shared" ref="Q4:Q38" si="0">SUM(E4:P4)</f>
        <v>1170</v>
      </c>
      <c r="R4" s="11"/>
    </row>
    <row r="5" spans="2:22" ht="18" customHeight="1" x14ac:dyDescent="0.3">
      <c r="B5" s="48"/>
      <c r="C5" s="61"/>
      <c r="D5" s="3" t="s">
        <v>62</v>
      </c>
      <c r="E5" s="7">
        <v>0</v>
      </c>
      <c r="F5" s="7">
        <v>0</v>
      </c>
      <c r="G5" s="7"/>
      <c r="H5" s="7"/>
      <c r="I5" s="7"/>
      <c r="J5" s="7"/>
      <c r="K5" s="7"/>
      <c r="L5" s="7"/>
      <c r="M5" s="7"/>
      <c r="N5" s="7"/>
      <c r="O5" s="7"/>
      <c r="P5" s="7"/>
      <c r="Q5" s="23">
        <f t="shared" si="0"/>
        <v>0</v>
      </c>
      <c r="R5" s="11"/>
    </row>
    <row r="6" spans="2:22" ht="18" customHeight="1" x14ac:dyDescent="0.3">
      <c r="B6" s="48"/>
      <c r="C6" s="61"/>
      <c r="D6" s="25" t="s">
        <v>63</v>
      </c>
      <c r="E6" s="62">
        <v>9175</v>
      </c>
      <c r="F6" s="43">
        <v>11623.62</v>
      </c>
      <c r="G6" s="7"/>
      <c r="H6" s="7"/>
      <c r="I6" s="7"/>
      <c r="J6" s="7"/>
      <c r="K6" s="7"/>
      <c r="L6" s="7"/>
      <c r="M6" s="7"/>
      <c r="N6" s="7"/>
      <c r="O6" s="42"/>
      <c r="P6" s="43"/>
      <c r="Q6" s="23">
        <f t="shared" si="0"/>
        <v>20798.620000000003</v>
      </c>
      <c r="R6" s="11"/>
      <c r="S6" s="5">
        <f>Q6*0.75</f>
        <v>15598.965000000002</v>
      </c>
      <c r="T6" s="4" t="s">
        <v>64</v>
      </c>
      <c r="U6" s="5">
        <f>S6/1000</f>
        <v>15.598965000000002</v>
      </c>
      <c r="V6" s="5" t="s">
        <v>65</v>
      </c>
    </row>
    <row r="7" spans="2:22" ht="18" customHeight="1" x14ac:dyDescent="0.3">
      <c r="B7" s="48"/>
      <c r="C7" s="61" t="s">
        <v>66</v>
      </c>
      <c r="D7" s="3" t="s">
        <v>67</v>
      </c>
      <c r="E7" s="7">
        <v>268553</v>
      </c>
      <c r="F7" s="43">
        <v>387329.15</v>
      </c>
      <c r="G7" s="7"/>
      <c r="H7" s="7"/>
      <c r="I7" s="7"/>
      <c r="J7" s="7"/>
      <c r="K7" s="4"/>
      <c r="L7" s="7"/>
      <c r="M7" s="4"/>
      <c r="N7" s="7"/>
      <c r="O7" s="7"/>
      <c r="P7" s="43"/>
      <c r="Q7" s="23">
        <f t="shared" si="0"/>
        <v>655882.15</v>
      </c>
      <c r="R7" s="11"/>
    </row>
    <row r="8" spans="2:22" ht="18" customHeight="1" x14ac:dyDescent="0.3">
      <c r="B8" s="48"/>
      <c r="C8" s="61"/>
      <c r="D8" s="3" t="s">
        <v>68</v>
      </c>
      <c r="E8" s="7">
        <v>0</v>
      </c>
      <c r="F8" s="7">
        <v>0</v>
      </c>
      <c r="G8" s="7"/>
      <c r="H8" s="7"/>
      <c r="I8" s="7"/>
      <c r="J8" s="7"/>
      <c r="K8" s="7"/>
      <c r="L8" s="7"/>
      <c r="M8" s="7"/>
      <c r="N8" s="7"/>
      <c r="O8" s="7"/>
      <c r="P8" s="7"/>
      <c r="Q8" s="23">
        <f t="shared" si="0"/>
        <v>0</v>
      </c>
      <c r="R8" s="11"/>
    </row>
    <row r="9" spans="2:22" ht="18" customHeight="1" x14ac:dyDescent="0.3">
      <c r="B9" s="48"/>
      <c r="C9" s="61"/>
      <c r="D9" s="3" t="s">
        <v>69</v>
      </c>
      <c r="E9" s="7">
        <v>0</v>
      </c>
      <c r="F9" s="7">
        <v>0</v>
      </c>
      <c r="G9" s="7"/>
      <c r="H9" s="7"/>
      <c r="I9" s="7"/>
      <c r="J9" s="7"/>
      <c r="K9" s="7"/>
      <c r="L9" s="7"/>
      <c r="M9" s="7"/>
      <c r="N9" s="7"/>
      <c r="O9" s="7"/>
      <c r="P9" s="7"/>
      <c r="Q9" s="23">
        <f t="shared" si="0"/>
        <v>0</v>
      </c>
      <c r="R9" s="11"/>
    </row>
    <row r="10" spans="2:22" ht="18" customHeight="1" x14ac:dyDescent="0.3">
      <c r="B10" s="48"/>
      <c r="C10" s="61"/>
      <c r="D10" s="3" t="s">
        <v>70</v>
      </c>
      <c r="E10" s="7">
        <v>97960</v>
      </c>
      <c r="F10" s="7">
        <v>110670</v>
      </c>
      <c r="G10" s="7"/>
      <c r="H10" s="7"/>
      <c r="I10" s="7"/>
      <c r="J10" s="7"/>
      <c r="K10" s="4"/>
      <c r="L10" s="7"/>
      <c r="M10" s="7"/>
      <c r="N10" s="7"/>
      <c r="O10" s="7"/>
      <c r="P10" s="7"/>
      <c r="Q10" s="23">
        <f t="shared" si="0"/>
        <v>208630</v>
      </c>
      <c r="R10" s="11"/>
    </row>
    <row r="11" spans="2:22" ht="24" customHeight="1" x14ac:dyDescent="0.3">
      <c r="B11" s="48"/>
      <c r="C11" s="3" t="s">
        <v>71</v>
      </c>
      <c r="D11" s="25" t="s">
        <v>72</v>
      </c>
      <c r="E11" s="8">
        <f>E7+E8+E9+E10</f>
        <v>366513</v>
      </c>
      <c r="F11" s="8">
        <f t="shared" ref="F11:P11" si="1">F7+F8+F9+F10</f>
        <v>497999.15</v>
      </c>
      <c r="G11" s="8">
        <f t="shared" si="1"/>
        <v>0</v>
      </c>
      <c r="H11" s="8">
        <f t="shared" si="1"/>
        <v>0</v>
      </c>
      <c r="I11" s="8">
        <f t="shared" si="1"/>
        <v>0</v>
      </c>
      <c r="J11" s="8">
        <f t="shared" si="1"/>
        <v>0</v>
      </c>
      <c r="K11" s="8">
        <f t="shared" si="1"/>
        <v>0</v>
      </c>
      <c r="L11" s="8">
        <f t="shared" si="1"/>
        <v>0</v>
      </c>
      <c r="M11" s="8">
        <f t="shared" si="1"/>
        <v>0</v>
      </c>
      <c r="N11" s="8">
        <f t="shared" si="1"/>
        <v>0</v>
      </c>
      <c r="O11" s="8">
        <f t="shared" si="1"/>
        <v>0</v>
      </c>
      <c r="P11" s="8">
        <f t="shared" si="1"/>
        <v>0</v>
      </c>
      <c r="Q11" s="23"/>
      <c r="R11" s="11"/>
    </row>
    <row r="12" spans="2:22" ht="19.95" customHeight="1" x14ac:dyDescent="0.3">
      <c r="B12" s="49"/>
      <c r="C12" s="3" t="s">
        <v>73</v>
      </c>
      <c r="D12" s="25" t="s">
        <v>74</v>
      </c>
      <c r="E12" s="8">
        <f>E11/E3</f>
        <v>218.90259926417889</v>
      </c>
      <c r="F12" s="8">
        <f t="shared" ref="F12:P12" si="2">F11/F3</f>
        <v>278.03784782705799</v>
      </c>
      <c r="G12" s="8" t="e">
        <f t="shared" si="2"/>
        <v>#DIV/0!</v>
      </c>
      <c r="H12" s="8" t="e">
        <f t="shared" si="2"/>
        <v>#DIV/0!</v>
      </c>
      <c r="I12" s="8" t="e">
        <f t="shared" si="2"/>
        <v>#DIV/0!</v>
      </c>
      <c r="J12" s="8" t="e">
        <f t="shared" si="2"/>
        <v>#DIV/0!</v>
      </c>
      <c r="K12" s="8" t="e">
        <f t="shared" si="2"/>
        <v>#DIV/0!</v>
      </c>
      <c r="L12" s="8" t="e">
        <f t="shared" si="2"/>
        <v>#DIV/0!</v>
      </c>
      <c r="M12" s="8" t="e">
        <f t="shared" si="2"/>
        <v>#DIV/0!</v>
      </c>
      <c r="N12" s="8" t="e">
        <f t="shared" si="2"/>
        <v>#DIV/0!</v>
      </c>
      <c r="O12" s="8" t="e">
        <f t="shared" si="2"/>
        <v>#DIV/0!</v>
      </c>
      <c r="P12" s="8" t="e">
        <f t="shared" si="2"/>
        <v>#DIV/0!</v>
      </c>
      <c r="Q12" s="29">
        <f>AVERAGE(E12:F12)</f>
        <v>248.47022354561844</v>
      </c>
      <c r="R12" s="31">
        <v>365.8</v>
      </c>
    </row>
    <row r="13" spans="2:22" ht="18" customHeight="1" x14ac:dyDescent="0.3">
      <c r="B13" s="58" t="s">
        <v>75</v>
      </c>
      <c r="C13" s="61" t="s">
        <v>76</v>
      </c>
      <c r="D13" s="3" t="s">
        <v>77</v>
      </c>
      <c r="E13" s="7">
        <v>0</v>
      </c>
      <c r="F13" s="7">
        <v>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23">
        <f t="shared" si="0"/>
        <v>0</v>
      </c>
      <c r="R13" s="11"/>
    </row>
    <row r="14" spans="2:22" ht="18" customHeight="1" x14ac:dyDescent="0.3">
      <c r="B14" s="59"/>
      <c r="C14" s="61"/>
      <c r="D14" s="3" t="s">
        <v>78</v>
      </c>
      <c r="E14" s="7">
        <v>3467</v>
      </c>
      <c r="F14" s="7">
        <v>3583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23">
        <f t="shared" si="0"/>
        <v>7050</v>
      </c>
      <c r="R14" s="7"/>
    </row>
    <row r="15" spans="2:22" ht="18" customHeight="1" x14ac:dyDescent="0.3">
      <c r="B15" s="59"/>
      <c r="C15" s="61"/>
      <c r="D15" s="3" t="s">
        <v>79</v>
      </c>
      <c r="E15" s="7">
        <v>0</v>
      </c>
      <c r="F15" s="7">
        <v>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23">
        <f t="shared" si="0"/>
        <v>0</v>
      </c>
      <c r="R15" s="11"/>
      <c r="S15" s="27"/>
    </row>
    <row r="16" spans="2:22" ht="18" customHeight="1" x14ac:dyDescent="0.3">
      <c r="B16" s="59"/>
      <c r="C16" s="61"/>
      <c r="D16" s="3" t="s">
        <v>80</v>
      </c>
      <c r="E16" s="7">
        <v>600</v>
      </c>
      <c r="F16" s="7">
        <v>420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23">
        <f t="shared" si="0"/>
        <v>1020</v>
      </c>
      <c r="R16" s="11"/>
    </row>
    <row r="17" spans="2:21" ht="18" customHeight="1" x14ac:dyDescent="0.3">
      <c r="B17" s="59"/>
      <c r="C17" s="61"/>
      <c r="D17" s="3" t="s">
        <v>81</v>
      </c>
      <c r="E17" s="7">
        <v>2252</v>
      </c>
      <c r="F17" s="7">
        <v>2283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23">
        <f t="shared" si="0"/>
        <v>4535</v>
      </c>
      <c r="R17" s="7"/>
    </row>
    <row r="18" spans="2:21" ht="18" customHeight="1" x14ac:dyDescent="0.3">
      <c r="B18" s="59"/>
      <c r="C18" s="61" t="s">
        <v>82</v>
      </c>
      <c r="D18" s="3" t="s">
        <v>83</v>
      </c>
      <c r="E18" s="8">
        <f>E13+E14+E15+E16</f>
        <v>4067</v>
      </c>
      <c r="F18" s="8">
        <f t="shared" ref="F18:P18" si="3">F13+F14+F15+F16</f>
        <v>4003</v>
      </c>
      <c r="G18" s="8">
        <f t="shared" si="3"/>
        <v>0</v>
      </c>
      <c r="H18" s="8">
        <f t="shared" si="3"/>
        <v>0</v>
      </c>
      <c r="I18" s="8">
        <f t="shared" si="3"/>
        <v>0</v>
      </c>
      <c r="J18" s="8">
        <f t="shared" si="3"/>
        <v>0</v>
      </c>
      <c r="K18" s="8">
        <f t="shared" si="3"/>
        <v>0</v>
      </c>
      <c r="L18" s="8">
        <f t="shared" si="3"/>
        <v>0</v>
      </c>
      <c r="M18" s="8">
        <f t="shared" si="3"/>
        <v>0</v>
      </c>
      <c r="N18" s="8">
        <f t="shared" si="3"/>
        <v>0</v>
      </c>
      <c r="O18" s="8">
        <f t="shared" si="3"/>
        <v>0</v>
      </c>
      <c r="P18" s="8">
        <f t="shared" si="3"/>
        <v>0</v>
      </c>
      <c r="Q18" s="23">
        <f t="shared" si="0"/>
        <v>8070</v>
      </c>
      <c r="R18" s="11"/>
    </row>
    <row r="19" spans="2:21" ht="18" customHeight="1" x14ac:dyDescent="0.3">
      <c r="B19" s="59"/>
      <c r="C19" s="61"/>
      <c r="D19" s="3" t="s">
        <v>84</v>
      </c>
      <c r="E19" s="8">
        <f>E13+E14+E15+E16+E17</f>
        <v>6319</v>
      </c>
      <c r="F19" s="8">
        <f t="shared" ref="F19:P19" si="4">F13+F14+F15+F16+F17</f>
        <v>6286</v>
      </c>
      <c r="G19" s="8">
        <f t="shared" si="4"/>
        <v>0</v>
      </c>
      <c r="H19" s="8">
        <f t="shared" si="4"/>
        <v>0</v>
      </c>
      <c r="I19" s="8">
        <f t="shared" si="4"/>
        <v>0</v>
      </c>
      <c r="J19" s="8">
        <f t="shared" si="4"/>
        <v>0</v>
      </c>
      <c r="K19" s="8">
        <f t="shared" si="4"/>
        <v>0</v>
      </c>
      <c r="L19" s="8">
        <f t="shared" si="4"/>
        <v>0</v>
      </c>
      <c r="M19" s="8">
        <f t="shared" si="4"/>
        <v>0</v>
      </c>
      <c r="N19" s="8">
        <f t="shared" si="4"/>
        <v>0</v>
      </c>
      <c r="O19" s="8">
        <f t="shared" si="4"/>
        <v>0</v>
      </c>
      <c r="P19" s="8">
        <f t="shared" si="4"/>
        <v>0</v>
      </c>
      <c r="Q19" s="23">
        <f t="shared" si="0"/>
        <v>12605</v>
      </c>
      <c r="R19" s="11"/>
    </row>
    <row r="20" spans="2:21" ht="18" customHeight="1" x14ac:dyDescent="0.3">
      <c r="B20" s="59"/>
      <c r="C20" s="61"/>
      <c r="D20" s="3" t="s">
        <v>85</v>
      </c>
      <c r="E20" s="9">
        <f>E17/E19</f>
        <v>0.35638550403544866</v>
      </c>
      <c r="F20" s="9">
        <f t="shared" ref="F20:P20" si="5">F17/F19</f>
        <v>0.3631880369074133</v>
      </c>
      <c r="G20" s="9" t="e">
        <f t="shared" si="5"/>
        <v>#DIV/0!</v>
      </c>
      <c r="H20" s="9" t="e">
        <f t="shared" si="5"/>
        <v>#DIV/0!</v>
      </c>
      <c r="I20" s="9" t="e">
        <f t="shared" si="5"/>
        <v>#DIV/0!</v>
      </c>
      <c r="J20" s="9" t="e">
        <f t="shared" si="5"/>
        <v>#DIV/0!</v>
      </c>
      <c r="K20" s="9" t="e">
        <f t="shared" si="5"/>
        <v>#DIV/0!</v>
      </c>
      <c r="L20" s="9" t="e">
        <f t="shared" si="5"/>
        <v>#DIV/0!</v>
      </c>
      <c r="M20" s="9" t="e">
        <f t="shared" si="5"/>
        <v>#DIV/0!</v>
      </c>
      <c r="N20" s="9" t="e">
        <f t="shared" si="5"/>
        <v>#DIV/0!</v>
      </c>
      <c r="O20" s="9" t="e">
        <f t="shared" si="5"/>
        <v>#DIV/0!</v>
      </c>
      <c r="P20" s="9" t="e">
        <f t="shared" si="5"/>
        <v>#DIV/0!</v>
      </c>
      <c r="Q20" s="30">
        <f>Q17/Q19</f>
        <v>0.35977786592621974</v>
      </c>
      <c r="R20" s="11"/>
    </row>
    <row r="21" spans="2:21" ht="18" customHeight="1" x14ac:dyDescent="0.3">
      <c r="B21" s="59"/>
      <c r="C21" s="61"/>
      <c r="D21" s="3" t="s">
        <v>86</v>
      </c>
      <c r="E21" s="8">
        <f>E18/E3</f>
        <v>2.4290458215872714</v>
      </c>
      <c r="F21" s="8">
        <f t="shared" ref="F21:Q21" si="6">F18/F3</f>
        <v>2.2349144669257224</v>
      </c>
      <c r="G21" s="8" t="e">
        <f t="shared" si="6"/>
        <v>#DIV/0!</v>
      </c>
      <c r="H21" s="8" t="e">
        <f t="shared" si="6"/>
        <v>#DIV/0!</v>
      </c>
      <c r="I21" s="8" t="e">
        <f t="shared" si="6"/>
        <v>#DIV/0!</v>
      </c>
      <c r="J21" s="8" t="e">
        <f t="shared" si="6"/>
        <v>#DIV/0!</v>
      </c>
      <c r="K21" s="8" t="e">
        <f t="shared" si="6"/>
        <v>#DIV/0!</v>
      </c>
      <c r="L21" s="8" t="e">
        <f t="shared" si="6"/>
        <v>#DIV/0!</v>
      </c>
      <c r="M21" s="8" t="e">
        <f t="shared" si="6"/>
        <v>#DIV/0!</v>
      </c>
      <c r="N21" s="8" t="e">
        <f t="shared" si="6"/>
        <v>#DIV/0!</v>
      </c>
      <c r="O21" s="8" t="e">
        <f t="shared" si="6"/>
        <v>#DIV/0!</v>
      </c>
      <c r="P21" s="8" t="e">
        <f t="shared" si="6"/>
        <v>#DIV/0!</v>
      </c>
      <c r="Q21" s="7">
        <f t="shared" si="6"/>
        <v>2.3287086199732214</v>
      </c>
      <c r="R21" s="31">
        <v>2.41</v>
      </c>
    </row>
    <row r="22" spans="2:21" ht="24" customHeight="1" x14ac:dyDescent="0.3">
      <c r="B22" s="59"/>
      <c r="C22" s="61" t="s">
        <v>87</v>
      </c>
      <c r="D22" s="3" t="s">
        <v>88</v>
      </c>
      <c r="E22" s="7">
        <v>0</v>
      </c>
      <c r="F22" s="7">
        <v>0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23">
        <f t="shared" si="0"/>
        <v>0</v>
      </c>
      <c r="R22" s="11"/>
    </row>
    <row r="23" spans="2:21" ht="24.45" customHeight="1" x14ac:dyDescent="0.3">
      <c r="B23" s="59"/>
      <c r="C23" s="61"/>
      <c r="D23" s="3" t="s">
        <v>89</v>
      </c>
      <c r="E23" s="7">
        <v>0</v>
      </c>
      <c r="F23" s="7">
        <v>0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23">
        <f t="shared" si="0"/>
        <v>0</v>
      </c>
      <c r="R23" s="11"/>
    </row>
    <row r="24" spans="2:21" ht="18" customHeight="1" x14ac:dyDescent="0.3">
      <c r="B24" s="59"/>
      <c r="C24" s="61"/>
      <c r="D24" s="3" t="s">
        <v>90</v>
      </c>
      <c r="E24" s="7">
        <v>0</v>
      </c>
      <c r="F24" s="7">
        <v>0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23">
        <f t="shared" si="0"/>
        <v>0</v>
      </c>
      <c r="R24" s="11"/>
    </row>
    <row r="25" spans="2:21" ht="18" customHeight="1" x14ac:dyDescent="0.3">
      <c r="B25" s="59"/>
      <c r="C25" s="61"/>
      <c r="D25" s="3" t="s">
        <v>91</v>
      </c>
      <c r="E25" s="7">
        <v>0</v>
      </c>
      <c r="F25" s="7">
        <v>0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23">
        <f t="shared" si="0"/>
        <v>0</v>
      </c>
      <c r="R25" s="11"/>
    </row>
    <row r="26" spans="2:21" ht="18" customHeight="1" x14ac:dyDescent="0.3">
      <c r="B26" s="59"/>
      <c r="C26" s="61"/>
      <c r="D26" s="3" t="s">
        <v>92</v>
      </c>
      <c r="E26" s="7">
        <v>0</v>
      </c>
      <c r="F26" s="7">
        <v>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23">
        <f t="shared" si="0"/>
        <v>0</v>
      </c>
      <c r="R26" s="11"/>
    </row>
    <row r="27" spans="2:21" ht="18" customHeight="1" x14ac:dyDescent="0.3">
      <c r="B27" s="60"/>
      <c r="C27" s="61"/>
      <c r="D27" s="3" t="s">
        <v>93</v>
      </c>
      <c r="E27" s="7">
        <v>0</v>
      </c>
      <c r="F27" s="7">
        <v>0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23">
        <f t="shared" si="0"/>
        <v>0</v>
      </c>
      <c r="R27" s="11"/>
    </row>
    <row r="28" spans="2:21" ht="18" customHeight="1" x14ac:dyDescent="0.3">
      <c r="B28" s="58" t="s">
        <v>94</v>
      </c>
      <c r="C28" s="61" t="s">
        <v>95</v>
      </c>
      <c r="D28" s="3" t="s">
        <v>96</v>
      </c>
      <c r="E28" s="12">
        <v>47586</v>
      </c>
      <c r="F28" s="12">
        <v>40503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23">
        <f t="shared" si="0"/>
        <v>88089</v>
      </c>
      <c r="R28" s="11"/>
    </row>
    <row r="29" spans="2:21" ht="18" customHeight="1" x14ac:dyDescent="0.3">
      <c r="B29" s="59"/>
      <c r="C29" s="61"/>
      <c r="D29" s="3" t="s">
        <v>97</v>
      </c>
      <c r="E29" s="7">
        <v>0</v>
      </c>
      <c r="F29" s="7">
        <v>0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23">
        <f t="shared" si="0"/>
        <v>0</v>
      </c>
      <c r="R29" s="11"/>
    </row>
    <row r="30" spans="2:21" ht="18" customHeight="1" x14ac:dyDescent="0.3">
      <c r="B30" s="59"/>
      <c r="C30" s="61"/>
      <c r="D30" s="3" t="s">
        <v>98</v>
      </c>
      <c r="E30" s="7">
        <v>2000</v>
      </c>
      <c r="F30" s="7">
        <v>2000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23">
        <f t="shared" si="0"/>
        <v>4000</v>
      </c>
      <c r="R30" s="11"/>
      <c r="S30" s="4"/>
      <c r="U30" s="45"/>
    </row>
    <row r="31" spans="2:21" ht="18" customHeight="1" x14ac:dyDescent="0.3">
      <c r="B31" s="59"/>
      <c r="C31" s="61"/>
      <c r="D31" s="3" t="s">
        <v>99</v>
      </c>
      <c r="E31" s="7">
        <v>0</v>
      </c>
      <c r="F31" s="7">
        <v>0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23">
        <f t="shared" si="0"/>
        <v>0</v>
      </c>
      <c r="R31" s="11"/>
    </row>
    <row r="32" spans="2:21" ht="18" customHeight="1" x14ac:dyDescent="0.3">
      <c r="B32" s="59"/>
      <c r="C32" s="61"/>
      <c r="D32" s="3" t="s">
        <v>100</v>
      </c>
      <c r="E32" s="7">
        <v>26</v>
      </c>
      <c r="F32" s="7">
        <v>25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23">
        <f t="shared" si="0"/>
        <v>51</v>
      </c>
      <c r="R32" s="11"/>
    </row>
    <row r="33" spans="2:20" ht="18" customHeight="1" x14ac:dyDescent="0.3">
      <c r="B33" s="59"/>
      <c r="C33" s="61" t="s">
        <v>101</v>
      </c>
      <c r="D33" s="3" t="s">
        <v>102</v>
      </c>
      <c r="E33" s="7">
        <v>0</v>
      </c>
      <c r="F33" s="12">
        <v>0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23">
        <f t="shared" si="0"/>
        <v>0</v>
      </c>
      <c r="R33" s="11"/>
    </row>
    <row r="34" spans="2:20" ht="18" customHeight="1" x14ac:dyDescent="0.3">
      <c r="B34" s="59"/>
      <c r="C34" s="61"/>
      <c r="D34" s="3" t="s">
        <v>103</v>
      </c>
      <c r="E34" s="7">
        <v>0</v>
      </c>
      <c r="F34" s="7">
        <v>0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23">
        <f t="shared" si="0"/>
        <v>0</v>
      </c>
      <c r="R34" s="11"/>
    </row>
    <row r="35" spans="2:20" ht="18" customHeight="1" x14ac:dyDescent="0.3">
      <c r="B35" s="59"/>
      <c r="C35" s="61"/>
      <c r="D35" s="3" t="s">
        <v>104</v>
      </c>
      <c r="E35" s="7">
        <v>0</v>
      </c>
      <c r="F35" s="7">
        <v>0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23">
        <f t="shared" si="0"/>
        <v>0</v>
      </c>
      <c r="R35" s="11"/>
    </row>
    <row r="36" spans="2:20" ht="24.75" customHeight="1" x14ac:dyDescent="0.3">
      <c r="B36" s="59"/>
      <c r="C36" s="61"/>
      <c r="D36" s="3" t="s">
        <v>105</v>
      </c>
      <c r="E36" s="7">
        <v>0</v>
      </c>
      <c r="F36" s="7">
        <v>0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23">
        <f t="shared" si="0"/>
        <v>0</v>
      </c>
      <c r="R36" s="11"/>
    </row>
    <row r="37" spans="2:20" ht="18" customHeight="1" x14ac:dyDescent="0.3">
      <c r="B37" s="59"/>
      <c r="C37" s="61"/>
      <c r="D37" s="3" t="s">
        <v>106</v>
      </c>
      <c r="E37" s="7">
        <v>21.2</v>
      </c>
      <c r="F37" s="7">
        <v>29.7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23">
        <f t="shared" si="0"/>
        <v>50.9</v>
      </c>
      <c r="R37" s="11"/>
    </row>
    <row r="38" spans="2:20" ht="18" customHeight="1" x14ac:dyDescent="0.3">
      <c r="B38" s="59"/>
      <c r="C38" s="61" t="s">
        <v>107</v>
      </c>
      <c r="D38" s="3" t="s">
        <v>108</v>
      </c>
      <c r="E38" s="8">
        <f>(E28+E29+E30+E31+E32+E33+E34+E35+E37+E36)/1000</f>
        <v>49.633199999999995</v>
      </c>
      <c r="F38" s="8">
        <f t="shared" ref="F38:P38" si="7">(F28+F29+F30+F31+F32+F33+F34+F35+F37+F36)/1000</f>
        <v>42.557699999999997</v>
      </c>
      <c r="G38" s="8">
        <f t="shared" si="7"/>
        <v>0</v>
      </c>
      <c r="H38" s="8">
        <f t="shared" si="7"/>
        <v>0</v>
      </c>
      <c r="I38" s="8">
        <f t="shared" si="7"/>
        <v>0</v>
      </c>
      <c r="J38" s="8">
        <f t="shared" si="7"/>
        <v>0</v>
      </c>
      <c r="K38" s="8">
        <f t="shared" si="7"/>
        <v>0</v>
      </c>
      <c r="L38" s="8">
        <f t="shared" si="7"/>
        <v>0</v>
      </c>
      <c r="M38" s="8">
        <f t="shared" si="7"/>
        <v>0</v>
      </c>
      <c r="N38" s="8">
        <f t="shared" si="7"/>
        <v>0</v>
      </c>
      <c r="O38" s="8">
        <f t="shared" si="7"/>
        <v>0</v>
      </c>
      <c r="P38" s="8">
        <f t="shared" si="7"/>
        <v>0</v>
      </c>
      <c r="Q38" s="23">
        <f t="shared" si="0"/>
        <v>92.190899999999999</v>
      </c>
      <c r="R38" s="11"/>
    </row>
    <row r="39" spans="2:20" ht="18" customHeight="1" x14ac:dyDescent="0.3">
      <c r="B39" s="59"/>
      <c r="C39" s="61"/>
      <c r="D39" s="3" t="s">
        <v>109</v>
      </c>
      <c r="E39" s="8">
        <f>E28+E29+E30+E31+E32+E33+E34+E35+E36+E37</f>
        <v>49633.2</v>
      </c>
      <c r="F39" s="8">
        <f t="shared" ref="F39:P39" si="8">F28+F29+F30+F31+F32+F33+F34+F35+F36+F37</f>
        <v>42557.7</v>
      </c>
      <c r="G39" s="8">
        <f t="shared" si="8"/>
        <v>0</v>
      </c>
      <c r="H39" s="8">
        <f t="shared" si="8"/>
        <v>0</v>
      </c>
      <c r="I39" s="8">
        <f t="shared" si="8"/>
        <v>0</v>
      </c>
      <c r="J39" s="8">
        <f t="shared" si="8"/>
        <v>0</v>
      </c>
      <c r="K39" s="8">
        <f t="shared" si="8"/>
        <v>0</v>
      </c>
      <c r="L39" s="8">
        <f t="shared" si="8"/>
        <v>0</v>
      </c>
      <c r="M39" s="8">
        <f t="shared" si="8"/>
        <v>0</v>
      </c>
      <c r="N39" s="8">
        <f t="shared" si="8"/>
        <v>0</v>
      </c>
      <c r="O39" s="8">
        <f t="shared" si="8"/>
        <v>0</v>
      </c>
      <c r="P39" s="8">
        <f t="shared" si="8"/>
        <v>0</v>
      </c>
      <c r="Q39" s="23">
        <f>AVERAGE(E39:P39)</f>
        <v>7682.5749999999998</v>
      </c>
      <c r="R39" s="11"/>
      <c r="S39" s="4"/>
      <c r="T39" s="44"/>
    </row>
    <row r="40" spans="2:20" ht="18" customHeight="1" x14ac:dyDescent="0.3">
      <c r="B40" s="60"/>
      <c r="C40" s="61"/>
      <c r="D40" s="3" t="s">
        <v>110</v>
      </c>
      <c r="E40" s="8">
        <f>E39/E3</f>
        <v>29.643795690190643</v>
      </c>
      <c r="F40" s="8">
        <f t="shared" ref="F40:P40" si="9">F39/F3</f>
        <v>23.760384563848319</v>
      </c>
      <c r="G40" s="8" t="e">
        <f t="shared" si="9"/>
        <v>#DIV/0!</v>
      </c>
      <c r="H40" s="8" t="e">
        <f t="shared" si="9"/>
        <v>#DIV/0!</v>
      </c>
      <c r="I40" s="8" t="e">
        <f t="shared" si="9"/>
        <v>#DIV/0!</v>
      </c>
      <c r="J40" s="8" t="e">
        <f t="shared" si="9"/>
        <v>#DIV/0!</v>
      </c>
      <c r="K40" s="8" t="e">
        <f t="shared" si="9"/>
        <v>#DIV/0!</v>
      </c>
      <c r="L40" s="8" t="e">
        <f t="shared" si="9"/>
        <v>#DIV/0!</v>
      </c>
      <c r="M40" s="8" t="e">
        <f t="shared" si="9"/>
        <v>#DIV/0!</v>
      </c>
      <c r="N40" s="8" t="e">
        <f t="shared" si="9"/>
        <v>#DIV/0!</v>
      </c>
      <c r="O40" s="8" t="e">
        <f t="shared" si="9"/>
        <v>#DIV/0!</v>
      </c>
      <c r="P40" s="8" t="e">
        <f t="shared" si="9"/>
        <v>#DIV/0!</v>
      </c>
      <c r="Q40" s="23" t="e">
        <f>AVERAGE(E40:P40)</f>
        <v>#DIV/0!</v>
      </c>
      <c r="R40" s="11"/>
    </row>
    <row r="42" spans="2:20" ht="18" customHeight="1" x14ac:dyDescent="0.3"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</row>
    <row r="44" spans="2:20" ht="18" customHeight="1" x14ac:dyDescent="0.2">
      <c r="B44" s="1"/>
      <c r="D44" s="1"/>
    </row>
    <row r="48" spans="2:20" ht="18" customHeight="1" x14ac:dyDescent="0.3">
      <c r="L48" s="4"/>
    </row>
  </sheetData>
  <mergeCells count="14">
    <mergeCell ref="E1:M1"/>
    <mergeCell ref="N1:P1"/>
    <mergeCell ref="B2:D2"/>
    <mergeCell ref="B28:B40"/>
    <mergeCell ref="C28:C32"/>
    <mergeCell ref="C33:C37"/>
    <mergeCell ref="C38:C40"/>
    <mergeCell ref="B4:B12"/>
    <mergeCell ref="C4:C6"/>
    <mergeCell ref="C7:C10"/>
    <mergeCell ref="B13:B27"/>
    <mergeCell ref="C13:C17"/>
    <mergeCell ref="C18:C21"/>
    <mergeCell ref="C22:C27"/>
  </mergeCells>
  <pageMargins left="0.7" right="0.7" top="0.75" bottom="0.75" header="0.3" footer="0.3"/>
  <pageSetup paperSize="9" fitToWidth="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811E8293BD344A76E3FE01A741236" ma:contentTypeVersion="13" ma:contentTypeDescription="Create a new document." ma:contentTypeScope="" ma:versionID="d4489eed761d4c7ae1a0a1c6e9f52b4a">
  <xsd:schema xmlns:xsd="http://www.w3.org/2001/XMLSchema" xmlns:xs="http://www.w3.org/2001/XMLSchema" xmlns:p="http://schemas.microsoft.com/office/2006/metadata/properties" xmlns:ns3="9eaf1d9f-8f19-44a9-9d57-06571e9325ef" targetNamespace="http://schemas.microsoft.com/office/2006/metadata/properties" ma:root="true" ma:fieldsID="baf2944cf8309bb41c9da76638206dc1" ns3:_="">
    <xsd:import namespace="9eaf1d9f-8f19-44a9-9d57-06571e9325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f1d9f-8f19-44a9-9d57-06571e9325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af1d9f-8f19-44a9-9d57-06571e9325ef" xsi:nil="true"/>
  </documentManagement>
</p:properties>
</file>

<file path=customXml/itemProps1.xml><?xml version="1.0" encoding="utf-8"?>
<ds:datastoreItem xmlns:ds="http://schemas.openxmlformats.org/officeDocument/2006/customXml" ds:itemID="{94373D0F-65FB-4EC4-9DD8-279645751C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9D53F3-A6B0-4C68-A57B-3D1ED3BB1F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af1d9f-8f19-44a9-9d57-06571e9325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DF88BB7-DFE1-4FC3-8826-C3597C76204F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eaf1d9f-8f19-44a9-9d57-06571e9325ef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H&amp;S</vt:lpstr>
      <vt:lpstr>Environment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Jeevanandham P</dc:creator>
  <cp:keywords/>
  <dc:description/>
  <cp:lastModifiedBy>Chandra Prakash</cp:lastModifiedBy>
  <cp:revision/>
  <dcterms:created xsi:type="dcterms:W3CDTF">2025-03-10T07:11:18Z</dcterms:created>
  <dcterms:modified xsi:type="dcterms:W3CDTF">2026-07-10T12:35:21Z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0x010100136811E8293BD344A76E3FE01A741236</vt:lpwstr>
  </property>
</Properties>
</file>